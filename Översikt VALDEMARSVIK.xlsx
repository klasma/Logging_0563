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46288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46288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46288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46288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46288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46288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46288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46288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46288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46288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63760-2025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46018</v>
      </c>
      <c r="E15" s="1" t="n">
        <v>46288</v>
      </c>
      <c r="F15" t="inlineStr">
        <is>
          <t>ÖSTERGÖTLANDS LÄN</t>
        </is>
      </c>
      <c r="G15" t="inlineStr">
        <is>
          <t>VALDEMARSVIK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Grovticka
Revlummer</t>
        </is>
      </c>
      <c r="W15">
        <f>HYPERLINK("https://klasma.github.io/Logging_0563/artfynd/A 63760-2025 artfynd.xlsx", "A 63760-2025")</f>
        <v/>
      </c>
      <c r="X15">
        <f>HYPERLINK("https://klasma.github.io/Logging_0563/kartor/A 63760-2025 karta.png", "A 63760-2025")</f>
        <v/>
      </c>
      <c r="Y15">
        <f>HYPERLINK("https://klasma.github.io/Logging_0563/kartor_geotiff/A 63760-2025 georefererad karta.tif", "A 63760-2025")</f>
        <v/>
      </c>
      <c r="AA15">
        <f>HYPERLINK("https://klasma.github.io/Logging_0563/klagomål/A 63760-2025 FSC-klagomål.docx", "A 63760-2025")</f>
        <v/>
      </c>
      <c r="AB15">
        <f>HYPERLINK("https://klasma.github.io/Logging_0563/klagomålsmail/A 63760-2025 FSC-klagomål mail.docx", "A 63760-2025")</f>
        <v/>
      </c>
      <c r="AC15">
        <f>HYPERLINK("https://klasma.github.io/Logging_0563/tillsyn/A 63760-2025 tillsynsbegäran.docx", "A 63760-2025")</f>
        <v/>
      </c>
      <c r="AD15">
        <f>HYPERLINK("https://klasma.github.io/Logging_0563/tillsynsmail/A 63760-2025 tillsynsbegäran mail.docx", "A 63760-2025")</f>
        <v/>
      </c>
    </row>
    <row r="16" ht="15" customHeight="1">
      <c r="A16" t="inlineStr">
        <is>
          <t>A 31168-2022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46288</v>
      </c>
      <c r="F16" t="inlineStr">
        <is>
          <t>ÖSTERGÖTLANDS LÄN</t>
        </is>
      </c>
      <c r="G16" t="inlineStr">
        <is>
          <t>VALDEMARSVIK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Skogsalm</t>
        </is>
      </c>
      <c r="W16">
        <f>HYPERLINK("https://klasma.github.io/Logging_0563/artfynd/A 31168-2022 artfynd.xlsx", "A 31168-2022")</f>
        <v/>
      </c>
      <c r="X16">
        <f>HYPERLINK("https://klasma.github.io/Logging_0563/kartor/A 31168-2022 karta.png", "A 31168-2022")</f>
        <v/>
      </c>
      <c r="Y16">
        <f>HYPERLINK("https://klasma.github.io/Logging_0563/kartor_geotiff/A 31168-2022 georefererad karta.tif", "A 31168-2022")</f>
        <v/>
      </c>
      <c r="AA16">
        <f>HYPERLINK("https://klasma.github.io/Logging_0563/klagomål/A 31168-2022 FSC-klagomål.docx", "A 31168-2022")</f>
        <v/>
      </c>
      <c r="AB16">
        <f>HYPERLINK("https://klasma.github.io/Logging_0563/klagomålsmail/A 31168-2022 FSC-klagomål mail.docx", "A 31168-2022")</f>
        <v/>
      </c>
      <c r="AC16">
        <f>HYPERLINK("https://klasma.github.io/Logging_0563/tillsyn/A 31168-2022 tillsynsbegäran.docx", "A 31168-2022")</f>
        <v/>
      </c>
      <c r="AD16">
        <f>HYPERLINK("https://klasma.github.io/Logging_0563/tillsynsmail/A 31168-2022 tillsynsbegäran mail.docx", "A 31168-2022")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46288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53785-2021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44463</v>
      </c>
      <c r="E18" s="1" t="n">
        <v>46288</v>
      </c>
      <c r="F18" t="inlineStr">
        <is>
          <t>ÖSTERGÖTLANDS LÄN</t>
        </is>
      </c>
      <c r="G18" t="inlineStr">
        <is>
          <t>VALDEMARSVIK</t>
        </is>
      </c>
      <c r="H18" t="inlineStr">
        <is>
          <t>Övriga Aktiebolag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Ekoxe</t>
        </is>
      </c>
      <c r="W18">
        <f>HYPERLINK("https://klasma.github.io/Logging_0563/artfynd/A 53785-2021 artfynd.xlsx", "A 53785-2021")</f>
        <v/>
      </c>
      <c r="X18">
        <f>HYPERLINK("https://klasma.github.io/Logging_0563/kartor/A 53785-2021 karta.png", "A 53785-2021")</f>
        <v/>
      </c>
      <c r="Y18">
        <f>HYPERLINK("https://klasma.github.io/Logging_0563/kartor_geotiff/A 53785-2021 georefererad karta.tif", "A 53785-2021")</f>
        <v/>
      </c>
      <c r="AA18">
        <f>HYPERLINK("https://klasma.github.io/Logging_0563/klagomål/A 53785-2021 FSC-klagomål.docx", "A 53785-2021")</f>
        <v/>
      </c>
      <c r="AB18">
        <f>HYPERLINK("https://klasma.github.io/Logging_0563/klagomålsmail/A 53785-2021 FSC-klagomål mail.docx", "A 53785-2021")</f>
        <v/>
      </c>
      <c r="AC18">
        <f>HYPERLINK("https://klasma.github.io/Logging_0563/tillsyn/A 53785-2021 tillsynsbegäran.docx", "A 53785-2021")</f>
        <v/>
      </c>
      <c r="AD18">
        <f>HYPERLINK("https://klasma.github.io/Logging_0563/tillsynsmail/A 53785-2021 tillsynsbegäran mail.docx", "A 53785-2021")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46288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46288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46288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11749-2023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44994</v>
      </c>
      <c r="E22" s="1" t="n">
        <v>46288</v>
      </c>
      <c r="F22" t="inlineStr">
        <is>
          <t>ÖSTERGÖTLANDS LÄN</t>
        </is>
      </c>
      <c r="G22" t="inlineStr">
        <is>
          <t>VALDEMARSVIK</t>
        </is>
      </c>
      <c r="I22" t="n">
        <v>2.4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Adam och eva</t>
        </is>
      </c>
      <c r="W22">
        <f>HYPERLINK("https://klasma.github.io/Logging_0563/artfynd/A 11749-2023 artfynd.xlsx", "A 11749-2023")</f>
        <v/>
      </c>
      <c r="X22">
        <f>HYPERLINK("https://klasma.github.io/Logging_0563/kartor/A 11749-2023 karta.png", "A 11749-2023")</f>
        <v/>
      </c>
      <c r="Y22">
        <f>HYPERLINK("https://klasma.github.io/Logging_0563/kartor_geotiff/A 11749-2023 georefererad karta.tif", "A 11749-2023")</f>
        <v/>
      </c>
      <c r="AA22">
        <f>HYPERLINK("https://klasma.github.io/Logging_0563/klagomål/A 11749-2023 FSC-klagomål.docx", "A 11749-2023")</f>
        <v/>
      </c>
      <c r="AB22">
        <f>HYPERLINK("https://klasma.github.io/Logging_0563/klagomålsmail/A 11749-2023 FSC-klagomål mail.docx", "A 11749-2023")</f>
        <v/>
      </c>
      <c r="AC22">
        <f>HYPERLINK("https://klasma.github.io/Logging_0563/tillsyn/A 11749-2023 tillsynsbegäran.docx", "A 11749-2023")</f>
        <v/>
      </c>
      <c r="AD22">
        <f>HYPERLINK("https://klasma.github.io/Logging_0563/tillsynsmail/A 11749-2023 tillsynsbegäran mail.docx", "A 11749-2023")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46288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46288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4051-2023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46288</v>
      </c>
      <c r="F25" t="inlineStr">
        <is>
          <t>ÖSTERGÖTLANDS LÄN</t>
        </is>
      </c>
      <c r="G25" t="inlineStr">
        <is>
          <t>VALDEMARSVIK</t>
        </is>
      </c>
      <c r="I25" t="n">
        <v>2.5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HYPERLINK("https://klasma.github.io/Logging_0563/artfynd/A 4051-2023 artfynd.xlsx", "A 4051-2023")</f>
        <v/>
      </c>
      <c r="X25">
        <f>HYPERLINK("https://klasma.github.io/Logging_0563/kartor/A 4051-2023 karta.png", "A 4051-2023")</f>
        <v/>
      </c>
      <c r="Y25">
        <f>HYPERLINK("https://klasma.github.io/Logging_0563/kartor_geotiff/A 4051-2023 georefererad karta.tif", "A 4051-2023")</f>
        <v/>
      </c>
      <c r="AA25">
        <f>HYPERLINK("https://klasma.github.io/Logging_0563/klagomål/A 4051-2023 FSC-klagomål.docx", "A 4051-2023")</f>
        <v/>
      </c>
      <c r="AB25">
        <f>HYPERLINK("https://klasma.github.io/Logging_0563/klagomålsmail/A 4051-2023 FSC-klagomål mail.docx", "A 4051-2023")</f>
        <v/>
      </c>
      <c r="AC25">
        <f>HYPERLINK("https://klasma.github.io/Logging_0563/tillsyn/A 4051-2023 tillsynsbegäran.docx", "A 4051-2023")</f>
        <v/>
      </c>
      <c r="AD25">
        <f>HYPERLINK("https://klasma.github.io/Logging_0563/tillsynsmail/A 4051-2023 tillsynsbegäran mail.docx", "A 4051-2023")</f>
        <v/>
      </c>
    </row>
    <row r="26" ht="15" customHeight="1">
      <c r="A26" t="inlineStr">
        <is>
          <t>A 23067-2025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45790</v>
      </c>
      <c r="E26" s="1" t="n">
        <v>46288</v>
      </c>
      <c r="F26" t="inlineStr">
        <is>
          <t>ÖSTERGÖTLANDS LÄN</t>
        </is>
      </c>
      <c r="G26" t="inlineStr">
        <is>
          <t>VALDEMARSVIK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HYPERLINK("https://klasma.github.io/Logging_0563/artfynd/A 23067-2025 artfynd.xlsx", "A 23067-2025")</f>
        <v/>
      </c>
      <c r="X26">
        <f>HYPERLINK("https://klasma.github.io/Logging_0563/kartor/A 23067-2025 karta.png", "A 23067-2025")</f>
        <v/>
      </c>
      <c r="Y26">
        <f>HYPERLINK("https://klasma.github.io/Logging_0563/kartor_geotiff/A 23067-2025 georefererad karta.tif", "A 23067-2025")</f>
        <v/>
      </c>
      <c r="AA26">
        <f>HYPERLINK("https://klasma.github.io/Logging_0563/klagomål/A 23067-2025 FSC-klagomål.docx", "A 23067-2025")</f>
        <v/>
      </c>
      <c r="AB26">
        <f>HYPERLINK("https://klasma.github.io/Logging_0563/klagomålsmail/A 23067-2025 FSC-klagomål mail.docx", "A 23067-2025")</f>
        <v/>
      </c>
      <c r="AC26">
        <f>HYPERLINK("https://klasma.github.io/Logging_0563/tillsyn/A 23067-2025 tillsynsbegäran.docx", "A 23067-2025")</f>
        <v/>
      </c>
      <c r="AD26">
        <f>HYPERLINK("https://klasma.github.io/Logging_0563/tillsynsmail/A 23067-2025 tillsynsbegäran mail.docx", "A 23067-2025")</f>
        <v/>
      </c>
      <c r="AE26">
        <f>HYPERLINK("https://klasma.github.io/Logging_0563/fåglar/A 23067-2025 prioriterade fågelarter.docx", "A 23067-2025")</f>
        <v/>
      </c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46288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46288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46288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46288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47632-2022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46288</v>
      </c>
      <c r="F31" t="inlineStr">
        <is>
          <t>ÖSTERGÖTLANDS LÄN</t>
        </is>
      </c>
      <c r="G31" t="inlineStr">
        <is>
          <t>VALDEMARSVIK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70314-2021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46288</v>
      </c>
      <c r="F32" t="inlineStr">
        <is>
          <t>ÖSTERGÖTLANDS LÄN</t>
        </is>
      </c>
      <c r="G32" t="inlineStr">
        <is>
          <t>VALDEMARSVIK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46288</v>
      </c>
      <c r="F33" t="inlineStr">
        <is>
          <t>ÖSTERGÖTLANDS LÄN</t>
        </is>
      </c>
      <c r="G33" t="inlineStr">
        <is>
          <t>VALDEMARSVIK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69457-2021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46288</v>
      </c>
      <c r="F34" t="inlineStr">
        <is>
          <t>ÖSTERGÖTLANDS LÄN</t>
        </is>
      </c>
      <c r="G34" t="inlineStr">
        <is>
          <t>VALDEMARSVIK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46288</v>
      </c>
      <c r="F35" t="inlineStr">
        <is>
          <t>ÖSTERGÖTLANDS LÄN</t>
        </is>
      </c>
      <c r="G35" t="inlineStr">
        <is>
          <t>VALDEMARSVIK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69261-2021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46288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44881</v>
      </c>
      <c r="E37" s="1" t="n">
        <v>46288</v>
      </c>
      <c r="F37" t="inlineStr">
        <is>
          <t>ÖSTERGÖTLANDS LÄN</t>
        </is>
      </c>
      <c r="G37" t="inlineStr">
        <is>
          <t>VALDEMARSVIK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46288</v>
      </c>
      <c r="F38" t="inlineStr">
        <is>
          <t>ÖSTERGÖTLANDS LÄN</t>
        </is>
      </c>
      <c r="G38" t="inlineStr">
        <is>
          <t>VALDEMARSVIK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46288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46288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46288</v>
      </c>
      <c r="F41" t="inlineStr">
        <is>
          <t>ÖSTERGÖTLANDS LÄN</t>
        </is>
      </c>
      <c r="G41" t="inlineStr">
        <is>
          <t>VALDEMARSVIK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44658</v>
      </c>
      <c r="E42" s="1" t="n">
        <v>46288</v>
      </c>
      <c r="F42" t="inlineStr">
        <is>
          <t>ÖSTERGÖTLANDS LÄN</t>
        </is>
      </c>
      <c r="G42" t="inlineStr">
        <is>
          <t>VALDEMARSVIK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46288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46288</v>
      </c>
      <c r="F44" t="inlineStr">
        <is>
          <t>ÖSTERGÖTLANDS LÄN</t>
        </is>
      </c>
      <c r="G44" t="inlineStr">
        <is>
          <t>VALDEMARSVIK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53782-2021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46288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46288</v>
      </c>
      <c r="F46" t="inlineStr">
        <is>
          <t>ÖSTERGÖTLANDS LÄN</t>
        </is>
      </c>
      <c r="G46" t="inlineStr">
        <is>
          <t>VALDEMARSVIK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44573</v>
      </c>
      <c r="E47" s="1" t="n">
        <v>46288</v>
      </c>
      <c r="F47" t="inlineStr">
        <is>
          <t>ÖSTERGÖTLANDS LÄN</t>
        </is>
      </c>
      <c r="G47" t="inlineStr">
        <is>
          <t>VALDEMARSVIK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46288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46288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46288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46288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46288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46288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46288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46288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46288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46288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46288</v>
      </c>
      <c r="F58" t="inlineStr">
        <is>
          <t>ÖSTERGÖTLANDS LÄN</t>
        </is>
      </c>
      <c r="G58" t="inlineStr">
        <is>
          <t>VALDEMARSVIK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45590</v>
      </c>
      <c r="E59" s="1" t="n">
        <v>46288</v>
      </c>
      <c r="F59" t="inlineStr">
        <is>
          <t>ÖSTERGÖTLANDS LÄN</t>
        </is>
      </c>
      <c r="G59" t="inlineStr">
        <is>
          <t>VALDEMARSVIK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46288</v>
      </c>
      <c r="F60" t="inlineStr">
        <is>
          <t>ÖSTERGÖTLANDS LÄN</t>
        </is>
      </c>
      <c r="G60" t="inlineStr">
        <is>
          <t>VALDEMARSVIK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45433</v>
      </c>
      <c r="E61" s="1" t="n">
        <v>46288</v>
      </c>
      <c r="F61" t="inlineStr">
        <is>
          <t>ÖSTERGÖTLANDS LÄN</t>
        </is>
      </c>
      <c r="G61" t="inlineStr">
        <is>
          <t>VALDEMARSVIK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46288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46288</v>
      </c>
      <c r="F63" t="inlineStr">
        <is>
          <t>ÖSTERGÖTLANDS LÄN</t>
        </is>
      </c>
      <c r="G63" t="inlineStr">
        <is>
          <t>VALDEMARSVIK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46288</v>
      </c>
      <c r="F64" t="inlineStr">
        <is>
          <t>ÖSTERGÖTLANDS LÄN</t>
        </is>
      </c>
      <c r="G64" t="inlineStr">
        <is>
          <t>VALDEMARSVIK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46288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46288</v>
      </c>
      <c r="F66" t="inlineStr">
        <is>
          <t>ÖSTERGÖTLANDS LÄN</t>
        </is>
      </c>
      <c r="G66" t="inlineStr">
        <is>
          <t>VALDEMARSVIK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45254</v>
      </c>
      <c r="E67" s="1" t="n">
        <v>46288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46288</v>
      </c>
      <c r="F68" t="inlineStr">
        <is>
          <t>ÖSTERGÖTLANDS LÄN</t>
        </is>
      </c>
      <c r="G68" t="inlineStr">
        <is>
          <t>VALDEMARSVIK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46288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45028</v>
      </c>
      <c r="E70" s="1" t="n">
        <v>46288</v>
      </c>
      <c r="F70" t="inlineStr">
        <is>
          <t>ÖSTERGÖTLANDS LÄN</t>
        </is>
      </c>
      <c r="G70" t="inlineStr">
        <is>
          <t>VALDEMARSVIK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46288</v>
      </c>
      <c r="F71" t="inlineStr">
        <is>
          <t>ÖSTERGÖTLANDS LÄN</t>
        </is>
      </c>
      <c r="G71" t="inlineStr">
        <is>
          <t>VALDEMARSVIK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45344</v>
      </c>
      <c r="E72" s="1" t="n">
        <v>46288</v>
      </c>
      <c r="F72" t="inlineStr">
        <is>
          <t>ÖSTERGÖTLANDS LÄN</t>
        </is>
      </c>
      <c r="G72" t="inlineStr">
        <is>
          <t>VALDEMARSVIK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46288</v>
      </c>
      <c r="F73" t="inlineStr">
        <is>
          <t>ÖSTERGÖTLANDS LÄN</t>
        </is>
      </c>
      <c r="G73" t="inlineStr">
        <is>
          <t>VALDEMARSVIK</t>
        </is>
      </c>
      <c r="H73" t="inlineStr">
        <is>
          <t>Holmen skog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44749</v>
      </c>
      <c r="E74" s="1" t="n">
        <v>46288</v>
      </c>
      <c r="F74" t="inlineStr">
        <is>
          <t>ÖSTERGÖTLANDS LÄN</t>
        </is>
      </c>
      <c r="G74" t="inlineStr">
        <is>
          <t>VALDEMARSVIK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46288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46288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46288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46288</v>
      </c>
      <c r="F78" t="inlineStr">
        <is>
          <t>ÖSTERGÖTLANDS LÄN</t>
        </is>
      </c>
      <c r="G78" t="inlineStr">
        <is>
          <t>VALDEMARSVIK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46288</v>
      </c>
      <c r="F79" t="inlineStr">
        <is>
          <t>ÖSTERGÖTLANDS LÄN</t>
        </is>
      </c>
      <c r="G79" t="inlineStr">
        <is>
          <t>VALDEMARSVIK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45204</v>
      </c>
      <c r="E80" s="1" t="n">
        <v>46288</v>
      </c>
      <c r="F80" t="inlineStr">
        <is>
          <t>ÖSTERGÖTLANDS LÄN</t>
        </is>
      </c>
      <c r="G80" t="inlineStr">
        <is>
          <t>VALDEMARSVIK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46288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46288</v>
      </c>
      <c r="F82" t="inlineStr">
        <is>
          <t>ÖSTERGÖTLANDS LÄN</t>
        </is>
      </c>
      <c r="G82" t="inlineStr">
        <is>
          <t>VALDEMARSVIK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44592</v>
      </c>
      <c r="E83" s="1" t="n">
        <v>46288</v>
      </c>
      <c r="F83" t="inlineStr">
        <is>
          <t>ÖSTERGÖTLANDS LÄN</t>
        </is>
      </c>
      <c r="G83" t="inlineStr">
        <is>
          <t>VALDEMARSVIK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45202</v>
      </c>
      <c r="E84" s="1" t="n">
        <v>46288</v>
      </c>
      <c r="F84" t="inlineStr">
        <is>
          <t>ÖSTERGÖTLANDS LÄN</t>
        </is>
      </c>
      <c r="G84" t="inlineStr">
        <is>
          <t>VALDEMARSVIK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45271</v>
      </c>
      <c r="E85" s="1" t="n">
        <v>46288</v>
      </c>
      <c r="F85" t="inlineStr">
        <is>
          <t>ÖSTERGÖTLANDS LÄN</t>
        </is>
      </c>
      <c r="G85" t="inlineStr">
        <is>
          <t>VALDEMARSVIK</t>
        </is>
      </c>
      <c r="H85" t="inlineStr">
        <is>
          <t>Övriga Aktiebolag</t>
        </is>
      </c>
      <c r="I85" t="n">
        <v>11.1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26939-2023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46288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44833</v>
      </c>
      <c r="E87" s="1" t="n">
        <v>46288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45158</v>
      </c>
      <c r="E88" s="1" t="n">
        <v>46288</v>
      </c>
      <c r="F88" t="inlineStr">
        <is>
          <t>ÖSTERGÖTLANDS LÄN</t>
        </is>
      </c>
      <c r="G88" t="inlineStr">
        <is>
          <t>VALDEMARSVIK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46288</v>
      </c>
      <c r="F89" t="inlineStr">
        <is>
          <t>ÖSTERGÖTLANDS LÄN</t>
        </is>
      </c>
      <c r="G89" t="inlineStr">
        <is>
          <t>VALDEMARSVIK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46288</v>
      </c>
      <c r="F90" t="inlineStr">
        <is>
          <t>ÖSTERGÖTLANDS LÄN</t>
        </is>
      </c>
      <c r="G90" t="inlineStr">
        <is>
          <t>VALDEMARSVIK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46288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46288</v>
      </c>
      <c r="F92" t="inlineStr">
        <is>
          <t>ÖSTERGÖTLANDS LÄN</t>
        </is>
      </c>
      <c r="G92" t="inlineStr">
        <is>
          <t>VALDEMARSVIK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58262-2022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46288</v>
      </c>
      <c r="F93" t="inlineStr">
        <is>
          <t>ÖSTERGÖTLANDS LÄN</t>
        </is>
      </c>
      <c r="G93" t="inlineStr">
        <is>
          <t>VALDEMARSVIK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46288</v>
      </c>
      <c r="F94" t="inlineStr">
        <is>
          <t>ÖSTERGÖTLANDS LÄN</t>
        </is>
      </c>
      <c r="G94" t="inlineStr">
        <is>
          <t>VALDEMARSVIK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44749</v>
      </c>
      <c r="E95" s="1" t="n">
        <v>46288</v>
      </c>
      <c r="F95" t="inlineStr">
        <is>
          <t>ÖSTERGÖTLANDS LÄN</t>
        </is>
      </c>
      <c r="G95" t="inlineStr">
        <is>
          <t>VALDEMARSVIK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46288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45404</v>
      </c>
      <c r="E97" s="1" t="n">
        <v>46288</v>
      </c>
      <c r="F97" t="inlineStr">
        <is>
          <t>ÖSTERGÖTLANDS LÄN</t>
        </is>
      </c>
      <c r="G97" t="inlineStr">
        <is>
          <t>VALDEMARSVIK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46288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45601</v>
      </c>
      <c r="E99" s="1" t="n">
        <v>46288</v>
      </c>
      <c r="F99" t="inlineStr">
        <is>
          <t>ÖSTERGÖTLANDS LÄN</t>
        </is>
      </c>
      <c r="G99" t="inlineStr">
        <is>
          <t>VALDEMARSVIK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46288</v>
      </c>
      <c r="F100" t="inlineStr">
        <is>
          <t>ÖSTERGÖTLANDS LÄN</t>
        </is>
      </c>
      <c r="G100" t="inlineStr">
        <is>
          <t>VALDEMARSVIK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46288</v>
      </c>
      <c r="F101" t="inlineStr">
        <is>
          <t>ÖSTERGÖTLANDS LÄN</t>
        </is>
      </c>
      <c r="G101" t="inlineStr">
        <is>
          <t>VALDEMARSVIK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46288</v>
      </c>
      <c r="F102" t="inlineStr">
        <is>
          <t>ÖSTERGÖTLANDS LÄN</t>
        </is>
      </c>
      <c r="G102" t="inlineStr">
        <is>
          <t>VALDEMARSVIK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45035</v>
      </c>
      <c r="E103" s="1" t="n">
        <v>46288</v>
      </c>
      <c r="F103" t="inlineStr">
        <is>
          <t>ÖSTERGÖTLANDS LÄN</t>
        </is>
      </c>
      <c r="G103" t="inlineStr">
        <is>
          <t>VALDEMARSVIK</t>
        </is>
      </c>
      <c r="H103" t="inlineStr">
        <is>
          <t>Holmen skog AB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46288</v>
      </c>
      <c r="F104" t="inlineStr">
        <is>
          <t>ÖSTERGÖTLANDS LÄN</t>
        </is>
      </c>
      <c r="G104" t="inlineStr">
        <is>
          <t>VALDEMARSVIK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46288</v>
      </c>
      <c r="F105" t="inlineStr">
        <is>
          <t>ÖSTERGÖTLANDS LÄN</t>
        </is>
      </c>
      <c r="G105" t="inlineStr">
        <is>
          <t>VALDEMARSVIK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45258</v>
      </c>
      <c r="E106" s="1" t="n">
        <v>46288</v>
      </c>
      <c r="F106" t="inlineStr">
        <is>
          <t>ÖSTERGÖTLANDS LÄN</t>
        </is>
      </c>
      <c r="G106" t="inlineStr">
        <is>
          <t>VALDEMARSVIK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46288</v>
      </c>
      <c r="F107" t="inlineStr">
        <is>
          <t>ÖSTERGÖTLANDS LÄN</t>
        </is>
      </c>
      <c r="G107" t="inlineStr">
        <is>
          <t>VALDEMARSVIK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46288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Kommuner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46139</v>
      </c>
      <c r="E109" s="1" t="n">
        <v>46288</v>
      </c>
      <c r="F109" t="inlineStr">
        <is>
          <t>ÖSTERGÖTLANDS LÄN</t>
        </is>
      </c>
      <c r="G109" t="inlineStr">
        <is>
          <t>VALDEMARSVIK</t>
        </is>
      </c>
      <c r="H109" t="inlineStr">
        <is>
          <t>Kommuner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44965</v>
      </c>
      <c r="E110" s="1" t="n">
        <v>46288</v>
      </c>
      <c r="F110" t="inlineStr">
        <is>
          <t>ÖSTERGÖTLANDS LÄN</t>
        </is>
      </c>
      <c r="G110" t="inlineStr">
        <is>
          <t>VALDEMARSVIK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46288</v>
      </c>
      <c r="F111" t="inlineStr">
        <is>
          <t>ÖSTERGÖTLANDS LÄN</t>
        </is>
      </c>
      <c r="G111" t="inlineStr">
        <is>
          <t>VALDEMARSVIK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46288</v>
      </c>
      <c r="F112" t="inlineStr">
        <is>
          <t>ÖSTERGÖTLANDS LÄN</t>
        </is>
      </c>
      <c r="G112" t="inlineStr">
        <is>
          <t>VALDEMARSVIK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46288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46288</v>
      </c>
      <c r="F114" t="inlineStr">
        <is>
          <t>ÖSTERGÖTLANDS LÄN</t>
        </is>
      </c>
      <c r="G114" t="inlineStr">
        <is>
          <t>VALDEMARSVIK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44883</v>
      </c>
      <c r="E115" s="1" t="n">
        <v>46288</v>
      </c>
      <c r="F115" t="inlineStr">
        <is>
          <t>ÖSTERGÖTLANDS LÄN</t>
        </is>
      </c>
      <c r="G115" t="inlineStr">
        <is>
          <t>VALDEMARSVIK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46288</v>
      </c>
      <c r="F116" t="inlineStr">
        <is>
          <t>ÖSTERGÖTLANDS LÄN</t>
        </is>
      </c>
      <c r="G116" t="inlineStr">
        <is>
          <t>VALDEMARSVIK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46288</v>
      </c>
      <c r="F117" t="inlineStr">
        <is>
          <t>ÖSTERGÖTLANDS LÄN</t>
        </is>
      </c>
      <c r="G117" t="inlineStr">
        <is>
          <t>VALDEMARSVIK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46288</v>
      </c>
      <c r="F118" t="inlineStr">
        <is>
          <t>ÖSTERGÖTLANDS LÄN</t>
        </is>
      </c>
      <c r="G118" t="inlineStr">
        <is>
          <t>VALDEMARSVIK</t>
        </is>
      </c>
      <c r="H118" t="inlineStr">
        <is>
          <t>Kommuner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46288</v>
      </c>
      <c r="F119" t="inlineStr">
        <is>
          <t>ÖSTERGÖTLANDS LÄN</t>
        </is>
      </c>
      <c r="G119" t="inlineStr">
        <is>
          <t>VALDEMARSVIK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45099</v>
      </c>
      <c r="E120" s="1" t="n">
        <v>46288</v>
      </c>
      <c r="F120" t="inlineStr">
        <is>
          <t>ÖSTERGÖTLANDS LÄN</t>
        </is>
      </c>
      <c r="G120" t="inlineStr">
        <is>
          <t>VALDEMARSVIK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46288</v>
      </c>
      <c r="F121" t="inlineStr">
        <is>
          <t>ÖSTERGÖTLANDS LÄN</t>
        </is>
      </c>
      <c r="G121" t="inlineStr">
        <is>
          <t>VALDEMARSVIK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46288</v>
      </c>
      <c r="F122" t="inlineStr">
        <is>
          <t>ÖSTERGÖTLANDS LÄN</t>
        </is>
      </c>
      <c r="G122" t="inlineStr">
        <is>
          <t>VALDEMARSVIK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46288</v>
      </c>
      <c r="F123" t="inlineStr">
        <is>
          <t>ÖSTERGÖTLANDS LÄN</t>
        </is>
      </c>
      <c r="G123" t="inlineStr">
        <is>
          <t>VALDEMARSVIK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46288</v>
      </c>
      <c r="F124" t="inlineStr">
        <is>
          <t>ÖSTERGÖTLANDS LÄN</t>
        </is>
      </c>
      <c r="G124" t="inlineStr">
        <is>
          <t>VALDEMARSVIK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46288</v>
      </c>
      <c r="F125" t="inlineStr">
        <is>
          <t>ÖSTERGÖTLANDS LÄN</t>
        </is>
      </c>
      <c r="G125" t="inlineStr">
        <is>
          <t>VALDEMARSVIK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46288</v>
      </c>
      <c r="F126" t="inlineStr">
        <is>
          <t>ÖSTERGÖTLANDS LÄN</t>
        </is>
      </c>
      <c r="G126" t="inlineStr">
        <is>
          <t>VALDEMARSVIK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46288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46288</v>
      </c>
      <c r="F128" t="inlineStr">
        <is>
          <t>ÖSTERGÖTLANDS LÄN</t>
        </is>
      </c>
      <c r="G128" t="inlineStr">
        <is>
          <t>VALDEMARSVIK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57513-2022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44896</v>
      </c>
      <c r="E129" s="1" t="n">
        <v>46288</v>
      </c>
      <c r="F129" t="inlineStr">
        <is>
          <t>ÖSTERGÖTLANDS LÄN</t>
        </is>
      </c>
      <c r="G129" t="inlineStr">
        <is>
          <t>VALDEMARSVIK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46288</v>
      </c>
      <c r="F130" t="inlineStr">
        <is>
          <t>ÖSTERGÖTLANDS LÄN</t>
        </is>
      </c>
      <c r="G130" t="inlineStr">
        <is>
          <t>VALDEMARSVIK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46288</v>
      </c>
      <c r="F131" t="inlineStr">
        <is>
          <t>ÖSTERGÖTLANDS LÄN</t>
        </is>
      </c>
      <c r="G131" t="inlineStr">
        <is>
          <t>VALDEMARSVIK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46288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21511-2025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45782</v>
      </c>
      <c r="E133" s="1" t="n">
        <v>46288</v>
      </c>
      <c r="F133" t="inlineStr">
        <is>
          <t>ÖSTERGÖTLANDS LÄN</t>
        </is>
      </c>
      <c r="G133" t="inlineStr">
        <is>
          <t>VALDEMARSVIK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46288</v>
      </c>
      <c r="F134" t="inlineStr">
        <is>
          <t>ÖSTERGÖTLANDS LÄN</t>
        </is>
      </c>
      <c r="G134" t="inlineStr">
        <is>
          <t>VALDEMARSVIK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46288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46288</v>
      </c>
      <c r="F136" t="inlineStr">
        <is>
          <t>ÖSTERGÖTLANDS LÄN</t>
        </is>
      </c>
      <c r="G136" t="inlineStr">
        <is>
          <t>VALDEMARSVIK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46288</v>
      </c>
      <c r="F137" t="inlineStr">
        <is>
          <t>ÖSTERGÖTLANDS LÄN</t>
        </is>
      </c>
      <c r="G137" t="inlineStr">
        <is>
          <t>VALDEMARSVIK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46288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46155</v>
      </c>
      <c r="E139" s="1" t="n">
        <v>46288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46288</v>
      </c>
      <c r="F140" t="inlineStr">
        <is>
          <t>ÖSTERGÖTLANDS LÄN</t>
        </is>
      </c>
      <c r="G140" t="inlineStr">
        <is>
          <t>VALDEMARSVIK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45481</v>
      </c>
      <c r="E141" s="1" t="n">
        <v>46288</v>
      </c>
      <c r="F141" t="inlineStr">
        <is>
          <t>ÖSTERGÖTLANDS LÄN</t>
        </is>
      </c>
      <c r="G141" t="inlineStr">
        <is>
          <t>VALDEMARSVIK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45228</v>
      </c>
      <c r="E142" s="1" t="n">
        <v>46288</v>
      </c>
      <c r="F142" t="inlineStr">
        <is>
          <t>ÖSTERGÖTLANDS LÄN</t>
        </is>
      </c>
      <c r="G142" t="inlineStr">
        <is>
          <t>VALDEMARSVIK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46288</v>
      </c>
      <c r="F143" t="inlineStr">
        <is>
          <t>ÖSTERGÖTLANDS LÄN</t>
        </is>
      </c>
      <c r="G143" t="inlineStr">
        <is>
          <t>VALDEMARSVIK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46288</v>
      </c>
      <c r="F144" t="inlineStr">
        <is>
          <t>ÖSTERGÖTLANDS LÄN</t>
        </is>
      </c>
      <c r="G144" t="inlineStr">
        <is>
          <t>VALDEMARSVIK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53786-2021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44463</v>
      </c>
      <c r="E145" s="1" t="n">
        <v>46288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40728-2023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45170</v>
      </c>
      <c r="E146" s="1" t="n">
        <v>46288</v>
      </c>
      <c r="F146" t="inlineStr">
        <is>
          <t>ÖSTERGÖTLANDS LÄN</t>
        </is>
      </c>
      <c r="G146" t="inlineStr">
        <is>
          <t>VALDEMARSVIK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45761</v>
      </c>
      <c r="E147" s="1" t="n">
        <v>46288</v>
      </c>
      <c r="F147" t="inlineStr">
        <is>
          <t>ÖSTERGÖTLANDS LÄN</t>
        </is>
      </c>
      <c r="G147" t="inlineStr">
        <is>
          <t>VALDEMARSVIK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46288</v>
      </c>
      <c r="F148" t="inlineStr">
        <is>
          <t>ÖSTERGÖTLANDS LÄN</t>
        </is>
      </c>
      <c r="G148" t="inlineStr">
        <is>
          <t>VALDEMARSVIK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45685</v>
      </c>
      <c r="E149" s="1" t="n">
        <v>46288</v>
      </c>
      <c r="F149" t="inlineStr">
        <is>
          <t>ÖSTERGÖTLANDS LÄN</t>
        </is>
      </c>
      <c r="G149" t="inlineStr">
        <is>
          <t>VALDEMARSVIK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45685</v>
      </c>
      <c r="E150" s="1" t="n">
        <v>46288</v>
      </c>
      <c r="F150" t="inlineStr">
        <is>
          <t>ÖSTERGÖTLANDS LÄN</t>
        </is>
      </c>
      <c r="G150" t="inlineStr">
        <is>
          <t>VALDEMARSVIK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46288</v>
      </c>
      <c r="F151" t="inlineStr">
        <is>
          <t>ÖSTERGÖTLANDS LÄN</t>
        </is>
      </c>
      <c r="G151" t="inlineStr">
        <is>
          <t>VALDEMARSVIK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45632</v>
      </c>
      <c r="E152" s="1" t="n">
        <v>46288</v>
      </c>
      <c r="F152" t="inlineStr">
        <is>
          <t>ÖSTERGÖTLANDS LÄN</t>
        </is>
      </c>
      <c r="G152" t="inlineStr">
        <is>
          <t>VALDEMARSVIK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46288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45215</v>
      </c>
      <c r="E154" s="1" t="n">
        <v>46288</v>
      </c>
      <c r="F154" t="inlineStr">
        <is>
          <t>ÖSTERGÖTLANDS LÄN</t>
        </is>
      </c>
      <c r="G154" t="inlineStr">
        <is>
          <t>VALDEMARSVIK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46288</v>
      </c>
      <c r="F155" t="inlineStr">
        <is>
          <t>ÖSTERGÖTLANDS LÄN</t>
        </is>
      </c>
      <c r="G155" t="inlineStr">
        <is>
          <t>VALDEMARSVIK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46288</v>
      </c>
      <c r="F156" t="inlineStr">
        <is>
          <t>ÖSTERGÖTLANDS LÄN</t>
        </is>
      </c>
      <c r="G156" t="inlineStr">
        <is>
          <t>VALDEMARSVIK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46288</v>
      </c>
      <c r="F157" t="inlineStr">
        <is>
          <t>ÖSTERGÖTLANDS LÄN</t>
        </is>
      </c>
      <c r="G157" t="inlineStr">
        <is>
          <t>VALDEMARSVIK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46288</v>
      </c>
      <c r="F158" t="inlineStr">
        <is>
          <t>ÖSTERGÖTLANDS LÄN</t>
        </is>
      </c>
      <c r="G158" t="inlineStr">
        <is>
          <t>VALDEMARSVIK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46288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44980</v>
      </c>
      <c r="E160" s="1" t="n">
        <v>46288</v>
      </c>
      <c r="F160" t="inlineStr">
        <is>
          <t>ÖSTERGÖTLANDS LÄN</t>
        </is>
      </c>
      <c r="G160" t="inlineStr">
        <is>
          <t>VALDEMARSVIK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46288</v>
      </c>
      <c r="F161" t="inlineStr">
        <is>
          <t>ÖSTERGÖTLANDS LÄN</t>
        </is>
      </c>
      <c r="G161" t="inlineStr">
        <is>
          <t>VALDEMARSVIK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45992</v>
      </c>
      <c r="E162" s="1" t="n">
        <v>46288</v>
      </c>
      <c r="F162" t="inlineStr">
        <is>
          <t>ÖSTERGÖTLANDS LÄN</t>
        </is>
      </c>
      <c r="G162" t="inlineStr">
        <is>
          <t>VALDEMARSVIK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46288</v>
      </c>
      <c r="F163" t="inlineStr">
        <is>
          <t>ÖSTERGÖTLANDS LÄN</t>
        </is>
      </c>
      <c r="G163" t="inlineStr">
        <is>
          <t>VALDEMARSVIK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46288</v>
      </c>
      <c r="F164" t="inlineStr">
        <is>
          <t>ÖSTERGÖTLANDS LÄN</t>
        </is>
      </c>
      <c r="G164" t="inlineStr">
        <is>
          <t>VALDEMARSVIK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46288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Holmen skog AB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46288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46288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Övriga Aktiebolag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46288</v>
      </c>
      <c r="F168" t="inlineStr">
        <is>
          <t>ÖSTERGÖTLANDS LÄN</t>
        </is>
      </c>
      <c r="G168" t="inlineStr">
        <is>
          <t>VALDEMARSVIK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46288</v>
      </c>
      <c r="F169" t="inlineStr">
        <is>
          <t>ÖSTERGÖTLANDS LÄN</t>
        </is>
      </c>
      <c r="G169" t="inlineStr">
        <is>
          <t>VALDEMARSVIK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46288</v>
      </c>
      <c r="F170" t="inlineStr">
        <is>
          <t>ÖSTERGÖTLANDS LÄN</t>
        </is>
      </c>
      <c r="G170" t="inlineStr">
        <is>
          <t>VALDEMARSVIK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46288</v>
      </c>
      <c r="F171" t="inlineStr">
        <is>
          <t>ÖSTERGÖTLANDS LÄN</t>
        </is>
      </c>
      <c r="G171" t="inlineStr">
        <is>
          <t>VALDEMARSVIK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45565</v>
      </c>
      <c r="E172" s="1" t="n">
        <v>46288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45040</v>
      </c>
      <c r="E173" s="1" t="n">
        <v>46288</v>
      </c>
      <c r="F173" t="inlineStr">
        <is>
          <t>ÖSTERGÖTLANDS LÄN</t>
        </is>
      </c>
      <c r="G173" t="inlineStr">
        <is>
          <t>VALDEMARSVIK</t>
        </is>
      </c>
      <c r="H173" t="inlineStr">
        <is>
          <t>Holmen skog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46288</v>
      </c>
      <c r="F174" t="inlineStr">
        <is>
          <t>ÖSTERGÖTLANDS LÄN</t>
        </is>
      </c>
      <c r="G174" t="inlineStr">
        <is>
          <t>VALDEMARSVIK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46020</v>
      </c>
      <c r="E175" s="1" t="n">
        <v>46288</v>
      </c>
      <c r="F175" t="inlineStr">
        <is>
          <t>ÖSTERGÖTLANDS LÄN</t>
        </is>
      </c>
      <c r="G175" t="inlineStr">
        <is>
          <t>VALDEMARSVIK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46019</v>
      </c>
      <c r="E176" s="1" t="n">
        <v>46288</v>
      </c>
      <c r="F176" t="inlineStr">
        <is>
          <t>ÖSTERGÖTLANDS LÄN</t>
        </is>
      </c>
      <c r="G176" t="inlineStr">
        <is>
          <t>VALDEMARSVIK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46288</v>
      </c>
      <c r="F177" t="inlineStr">
        <is>
          <t>ÖSTERGÖTLANDS LÄN</t>
        </is>
      </c>
      <c r="G177" t="inlineStr">
        <is>
          <t>VALDEMARSVIK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46288</v>
      </c>
      <c r="F178" t="inlineStr">
        <is>
          <t>ÖSTERGÖTLANDS LÄN</t>
        </is>
      </c>
      <c r="G178" t="inlineStr">
        <is>
          <t>VALDEMARSVIK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46288</v>
      </c>
      <c r="F179" t="inlineStr">
        <is>
          <t>ÖSTERGÖTLANDS LÄN</t>
        </is>
      </c>
      <c r="G179" t="inlineStr">
        <is>
          <t>VALDEMARSVIK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46288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46288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Holmen skog AB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44728</v>
      </c>
      <c r="E182" s="1" t="n">
        <v>46288</v>
      </c>
      <c r="F182" t="inlineStr">
        <is>
          <t>ÖSTERGÖTLANDS LÄN</t>
        </is>
      </c>
      <c r="G182" t="inlineStr">
        <is>
          <t>VALDEMARSVIK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45339</v>
      </c>
      <c r="E183" s="1" t="n">
        <v>46288</v>
      </c>
      <c r="F183" t="inlineStr">
        <is>
          <t>ÖSTERGÖTLANDS LÄN</t>
        </is>
      </c>
      <c r="G183" t="inlineStr">
        <is>
          <t>VALDEMARSVIK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46027</v>
      </c>
      <c r="E184" s="1" t="n">
        <v>46288</v>
      </c>
      <c r="F184" t="inlineStr">
        <is>
          <t>ÖSTERGÖTLANDS LÄN</t>
        </is>
      </c>
      <c r="G184" t="inlineStr">
        <is>
          <t>VALDEMARSVIK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44652</v>
      </c>
      <c r="E185" s="1" t="n">
        <v>46288</v>
      </c>
      <c r="F185" t="inlineStr">
        <is>
          <t>ÖSTERGÖTLANDS LÄN</t>
        </is>
      </c>
      <c r="G185" t="inlineStr">
        <is>
          <t>VALDEMARSVIK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45036</v>
      </c>
      <c r="E186" s="1" t="n">
        <v>46288</v>
      </c>
      <c r="F186" t="inlineStr">
        <is>
          <t>ÖSTERGÖTLANDS LÄN</t>
        </is>
      </c>
      <c r="G186" t="inlineStr">
        <is>
          <t>VALDEMARSVIK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46288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46189</v>
      </c>
      <c r="E188" s="1" t="n">
        <v>46288</v>
      </c>
      <c r="F188" t="inlineStr">
        <is>
          <t>ÖSTERGÖTLANDS LÄN</t>
        </is>
      </c>
      <c r="G188" t="inlineStr">
        <is>
          <t>VALDEMARSVIK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44970</v>
      </c>
      <c r="E189" s="1" t="n">
        <v>46288</v>
      </c>
      <c r="F189" t="inlineStr">
        <is>
          <t>ÖSTERGÖTLANDS LÄN</t>
        </is>
      </c>
      <c r="G189" t="inlineStr">
        <is>
          <t>VALDEMARSVIK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46288</v>
      </c>
      <c r="F190" t="inlineStr">
        <is>
          <t>ÖSTERGÖTLANDS LÄN</t>
        </is>
      </c>
      <c r="G190" t="inlineStr">
        <is>
          <t>VALDEMARSVIK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46288</v>
      </c>
      <c r="F191" t="inlineStr">
        <is>
          <t>ÖSTERGÖTLANDS LÄN</t>
        </is>
      </c>
      <c r="G191" t="inlineStr">
        <is>
          <t>VALDEMARSVIK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46288</v>
      </c>
      <c r="F192" t="inlineStr">
        <is>
          <t>ÖSTERGÖTLANDS LÄN</t>
        </is>
      </c>
      <c r="G192" t="inlineStr">
        <is>
          <t>VALDEMARSVIK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46288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46195</v>
      </c>
      <c r="E194" s="1" t="n">
        <v>46288</v>
      </c>
      <c r="F194" t="inlineStr">
        <is>
          <t>ÖSTERGÖTLANDS LÄN</t>
        </is>
      </c>
      <c r="G194" t="inlineStr">
        <is>
          <t>VALDEMARSVIK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45783-2023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45195</v>
      </c>
      <c r="E195" s="1" t="n">
        <v>46288</v>
      </c>
      <c r="F195" t="inlineStr">
        <is>
          <t>ÖSTERGÖTLANDS LÄN</t>
        </is>
      </c>
      <c r="G195" t="inlineStr">
        <is>
          <t>VALDEMARSVIK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46288</v>
      </c>
      <c r="F196" t="inlineStr">
        <is>
          <t>ÖSTERGÖTLANDS LÄN</t>
        </is>
      </c>
      <c r="G196" t="inlineStr">
        <is>
          <t>VALDEMARSVIK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46288</v>
      </c>
      <c r="F197" t="inlineStr">
        <is>
          <t>ÖSTERGÖTLANDS LÄN</t>
        </is>
      </c>
      <c r="G197" t="inlineStr">
        <is>
          <t>VALDEMARSVIK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54812-2022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44883</v>
      </c>
      <c r="E198" s="1" t="n">
        <v>46288</v>
      </c>
      <c r="F198" t="inlineStr">
        <is>
          <t>ÖSTERGÖTLANDS LÄN</t>
        </is>
      </c>
      <c r="G198" t="inlineStr">
        <is>
          <t>VALDEMARSVIK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46288</v>
      </c>
      <c r="F199" t="inlineStr">
        <is>
          <t>ÖSTERGÖTLANDS LÄN</t>
        </is>
      </c>
      <c r="G199" t="inlineStr">
        <is>
          <t>VALDEMARSVIK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46288</v>
      </c>
      <c r="F200" t="inlineStr">
        <is>
          <t>ÖSTERGÖTLANDS LÄN</t>
        </is>
      </c>
      <c r="G200" t="inlineStr">
        <is>
          <t>VALDEMARSVIK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8823-2026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46288</v>
      </c>
      <c r="F201" t="inlineStr">
        <is>
          <t>ÖSTERGÖTLANDS LÄN</t>
        </is>
      </c>
      <c r="G201" t="inlineStr">
        <is>
          <t>VALDEMARSVIK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46288</v>
      </c>
      <c r="F202" t="inlineStr">
        <is>
          <t>ÖSTERGÖTLANDS LÄN</t>
        </is>
      </c>
      <c r="G202" t="inlineStr">
        <is>
          <t>VALDEMARSVIK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46288</v>
      </c>
      <c r="F203" t="inlineStr">
        <is>
          <t>ÖSTERGÖTLANDS LÄN</t>
        </is>
      </c>
      <c r="G203" t="inlineStr">
        <is>
          <t>VALDEMARSVIK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46288</v>
      </c>
      <c r="F204" t="inlineStr">
        <is>
          <t>ÖSTERGÖTLANDS LÄN</t>
        </is>
      </c>
      <c r="G204" t="inlineStr">
        <is>
          <t>VALDEMARSVIK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46288</v>
      </c>
      <c r="F205" t="inlineStr">
        <is>
          <t>ÖSTERGÖTLANDS LÄN</t>
        </is>
      </c>
      <c r="G205" t="inlineStr">
        <is>
          <t>VALDEMARSVIK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44899</v>
      </c>
      <c r="E206" s="1" t="n">
        <v>46288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46288</v>
      </c>
      <c r="F207" t="inlineStr">
        <is>
          <t>ÖSTERGÖTLANDS LÄN</t>
        </is>
      </c>
      <c r="G207" t="inlineStr">
        <is>
          <t>VALDEMARSVIK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46288</v>
      </c>
      <c r="F208" t="inlineStr">
        <is>
          <t>ÖSTERGÖTLANDS LÄN</t>
        </is>
      </c>
      <c r="G208" t="inlineStr">
        <is>
          <t>VALDEMARSVIK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46288</v>
      </c>
      <c r="F209" t="inlineStr">
        <is>
          <t>ÖSTERGÖTLANDS LÄN</t>
        </is>
      </c>
      <c r="G209" t="inlineStr">
        <is>
          <t>VALDEMARSVIK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46288</v>
      </c>
      <c r="F210" t="inlineStr">
        <is>
          <t>ÖSTERGÖTLANDS LÄN</t>
        </is>
      </c>
      <c r="G210" t="inlineStr">
        <is>
          <t>VALDEMARSVIK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46245</v>
      </c>
      <c r="E211" s="1" t="n">
        <v>46288</v>
      </c>
      <c r="F211" t="inlineStr">
        <is>
          <t>ÖSTERGÖTLANDS LÄN</t>
        </is>
      </c>
      <c r="G211" t="inlineStr">
        <is>
          <t>VALDEMARSVIK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46288</v>
      </c>
      <c r="F212" t="inlineStr">
        <is>
          <t>ÖSTERGÖTLANDS LÄN</t>
        </is>
      </c>
      <c r="G212" t="inlineStr">
        <is>
          <t>VALDEMARSVIK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52223-2021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44463</v>
      </c>
      <c r="E213" s="1" t="n">
        <v>46288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Övriga Aktiebolag</t>
        </is>
      </c>
      <c r="I213" t="n">
        <v>10.8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46288</v>
      </c>
      <c r="F214" t="inlineStr">
        <is>
          <t>ÖSTERGÖTLANDS LÄN</t>
        </is>
      </c>
      <c r="G214" t="inlineStr">
        <is>
          <t>VALDEMARSVIK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46288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Kyrkan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45569</v>
      </c>
      <c r="E216" s="1" t="n">
        <v>46288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Kyrkan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15078-2026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46288</v>
      </c>
      <c r="F217" t="inlineStr">
        <is>
          <t>ÖSTERGÖTLANDS LÄN</t>
        </is>
      </c>
      <c r="G217" t="inlineStr">
        <is>
          <t>VALDEMARSVIK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46288</v>
      </c>
      <c r="F218" t="inlineStr">
        <is>
          <t>ÖSTERGÖTLANDS LÄN</t>
        </is>
      </c>
      <c r="G218" t="inlineStr">
        <is>
          <t>VALDEMARSVIK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46288</v>
      </c>
      <c r="F219" t="inlineStr">
        <is>
          <t>ÖSTERGÖTLANDS LÄN</t>
        </is>
      </c>
      <c r="G219" t="inlineStr">
        <is>
          <t>VALDEMARSVIK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46288</v>
      </c>
      <c r="F220" t="inlineStr">
        <is>
          <t>ÖSTERGÖTLANDS LÄN</t>
        </is>
      </c>
      <c r="G220" t="inlineStr">
        <is>
          <t>VALDEMARSVIK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45394</v>
      </c>
      <c r="E221" s="1" t="n">
        <v>46288</v>
      </c>
      <c r="F221" t="inlineStr">
        <is>
          <t>ÖSTERGÖTLANDS LÄN</t>
        </is>
      </c>
      <c r="G221" t="inlineStr">
        <is>
          <t>VALDEMARSVIK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45758</v>
      </c>
      <c r="E222" s="1" t="n">
        <v>46288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45133</v>
      </c>
      <c r="E223" s="1" t="n">
        <v>46288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46288</v>
      </c>
      <c r="F224" t="inlineStr">
        <is>
          <t>ÖSTERGÖTLANDS LÄN</t>
        </is>
      </c>
      <c r="G224" t="inlineStr">
        <is>
          <t>VALDEMARSVIK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46288</v>
      </c>
      <c r="F225" t="inlineStr">
        <is>
          <t>ÖSTERGÖTLANDS LÄN</t>
        </is>
      </c>
      <c r="G225" t="inlineStr">
        <is>
          <t>VALDEMARSVIK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46288</v>
      </c>
      <c r="F226" t="inlineStr">
        <is>
          <t>ÖSTERGÖTLANDS LÄN</t>
        </is>
      </c>
      <c r="G226" t="inlineStr">
        <is>
          <t>VALDEMARSVIK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46288</v>
      </c>
      <c r="F227" t="inlineStr">
        <is>
          <t>ÖSTERGÖTLANDS LÄN</t>
        </is>
      </c>
      <c r="G227" t="inlineStr">
        <is>
          <t>VALDEMARSVIK</t>
        </is>
      </c>
      <c r="I227" t="n">
        <v>10.3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44575</v>
      </c>
      <c r="E228" s="1" t="n">
        <v>46288</v>
      </c>
      <c r="F228" t="inlineStr">
        <is>
          <t>ÖSTERGÖTLANDS LÄN</t>
        </is>
      </c>
      <c r="G228" t="inlineStr">
        <is>
          <t>VALDEMARSVIK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46288</v>
      </c>
      <c r="F229" t="inlineStr">
        <is>
          <t>ÖSTERGÖTLANDS LÄN</t>
        </is>
      </c>
      <c r="G229" t="inlineStr">
        <is>
          <t>VALDEMARSVIK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46288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45433</v>
      </c>
      <c r="E231" s="1" t="n">
        <v>46288</v>
      </c>
      <c r="F231" t="inlineStr">
        <is>
          <t>ÖSTERGÖTLANDS LÄN</t>
        </is>
      </c>
      <c r="G231" t="inlineStr">
        <is>
          <t>VALDEMARSVIK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46288</v>
      </c>
      <c r="F232" t="inlineStr">
        <is>
          <t>ÖSTERGÖTLANDS LÄN</t>
        </is>
      </c>
      <c r="G232" t="inlineStr">
        <is>
          <t>VALDEMARSVIK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46288</v>
      </c>
      <c r="F233" t="inlineStr">
        <is>
          <t>ÖSTERGÖTLANDS LÄN</t>
        </is>
      </c>
      <c r="G233" t="inlineStr">
        <is>
          <t>VALDEMARSVIK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46288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45195</v>
      </c>
      <c r="E235" s="1" t="n">
        <v>46288</v>
      </c>
      <c r="F235" t="inlineStr">
        <is>
          <t>ÖSTERGÖTLANDS LÄN</t>
        </is>
      </c>
      <c r="G235" t="inlineStr">
        <is>
          <t>VALDEMARSVIK</t>
        </is>
      </c>
      <c r="I235" t="n">
        <v>15.8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46288</v>
      </c>
      <c r="F236" t="inlineStr">
        <is>
          <t>ÖSTERGÖTLANDS LÄN</t>
        </is>
      </c>
      <c r="G236" t="inlineStr">
        <is>
          <t>VALDEMARSVIK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46288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46288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46288</v>
      </c>
      <c r="F239" t="inlineStr">
        <is>
          <t>ÖSTERGÖTLANDS LÄN</t>
        </is>
      </c>
      <c r="G239" t="inlineStr">
        <is>
          <t>VALDEMARSVIK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46288</v>
      </c>
      <c r="F240" t="inlineStr">
        <is>
          <t>ÖSTERGÖTLANDS LÄN</t>
        </is>
      </c>
      <c r="G240" t="inlineStr">
        <is>
          <t>VALDEMARSVIK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45719</v>
      </c>
      <c r="E241" s="1" t="n">
        <v>46288</v>
      </c>
      <c r="F241" t="inlineStr">
        <is>
          <t>ÖSTERGÖTLANDS LÄN</t>
        </is>
      </c>
      <c r="G241" t="inlineStr">
        <is>
          <t>VALDEMARSVIK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46288</v>
      </c>
      <c r="F242" t="inlineStr">
        <is>
          <t>ÖSTERGÖTLANDS LÄN</t>
        </is>
      </c>
      <c r="G242" t="inlineStr">
        <is>
          <t>VALDEMARSVIK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46255</v>
      </c>
      <c r="E243" s="1" t="n">
        <v>46288</v>
      </c>
      <c r="F243" t="inlineStr">
        <is>
          <t>ÖSTERGÖTLANDS LÄN</t>
        </is>
      </c>
      <c r="G243" t="inlineStr">
        <is>
          <t>VALDEMARSVIK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46288</v>
      </c>
      <c r="F244" t="inlineStr">
        <is>
          <t>ÖSTERGÖTLANDS LÄN</t>
        </is>
      </c>
      <c r="G244" t="inlineStr">
        <is>
          <t>VALDEMARSVIK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46288</v>
      </c>
      <c r="F245" t="inlineStr">
        <is>
          <t>ÖSTERGÖTLANDS LÄN</t>
        </is>
      </c>
      <c r="G245" t="inlineStr">
        <is>
          <t>VALDEMARSVIK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30964-2026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46213</v>
      </c>
      <c r="E246" s="1" t="n">
        <v>46288</v>
      </c>
      <c r="F246" t="inlineStr">
        <is>
          <t>ÖSTERGÖTLANDS LÄN</t>
        </is>
      </c>
      <c r="G246" t="inlineStr">
        <is>
          <t>VALDEMARSVIK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44952</v>
      </c>
      <c r="E247" s="1" t="n">
        <v>46288</v>
      </c>
      <c r="F247" t="inlineStr">
        <is>
          <t>ÖSTERGÖTLANDS LÄN</t>
        </is>
      </c>
      <c r="G247" t="inlineStr">
        <is>
          <t>VALDEMARSVIK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46288</v>
      </c>
      <c r="F248" t="inlineStr">
        <is>
          <t>ÖSTERGÖTLANDS LÄN</t>
        </is>
      </c>
      <c r="G248" t="inlineStr">
        <is>
          <t>VALDEMARSVIK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46265</v>
      </c>
      <c r="E249" s="1" t="n">
        <v>46288</v>
      </c>
      <c r="F249" t="inlineStr">
        <is>
          <t>ÖSTERGÖTLANDS LÄN</t>
        </is>
      </c>
      <c r="G249" t="inlineStr">
        <is>
          <t>VALDEMARSVIK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46265</v>
      </c>
      <c r="E250" s="1" t="n">
        <v>46288</v>
      </c>
      <c r="F250" t="inlineStr">
        <is>
          <t>ÖSTERGÖTLANDS LÄN</t>
        </is>
      </c>
      <c r="G250" t="inlineStr">
        <is>
          <t>VALDEMARSVIK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46266</v>
      </c>
      <c r="E251" s="1" t="n">
        <v>46288</v>
      </c>
      <c r="F251" t="inlineStr">
        <is>
          <t>ÖSTERGÖTLANDS LÄN</t>
        </is>
      </c>
      <c r="G251" t="inlineStr">
        <is>
          <t>VALDEMARSVIK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46288</v>
      </c>
      <c r="F252" t="inlineStr">
        <is>
          <t>ÖSTERGÖTLANDS LÄN</t>
        </is>
      </c>
      <c r="G252" t="inlineStr">
        <is>
          <t>VALDEMARSVIK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46288</v>
      </c>
      <c r="F253" t="inlineStr">
        <is>
          <t>ÖSTERGÖTLANDS LÄN</t>
        </is>
      </c>
      <c r="G253" t="inlineStr">
        <is>
          <t>VALDEMARSVIK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45236</v>
      </c>
      <c r="E254" s="1" t="n">
        <v>46288</v>
      </c>
      <c r="F254" t="inlineStr">
        <is>
          <t>ÖSTERGÖTLANDS LÄN</t>
        </is>
      </c>
      <c r="G254" t="inlineStr">
        <is>
          <t>VALDEMARSVIK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46288</v>
      </c>
      <c r="F255" t="inlineStr">
        <is>
          <t>ÖSTERGÖTLANDS LÄN</t>
        </is>
      </c>
      <c r="G255" t="inlineStr">
        <is>
          <t>VALDEMARSVIK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45193</v>
      </c>
      <c r="E256" s="1" t="n">
        <v>46288</v>
      </c>
      <c r="F256" t="inlineStr">
        <is>
          <t>ÖSTERGÖTLANDS LÄN</t>
        </is>
      </c>
      <c r="G256" t="inlineStr">
        <is>
          <t>VALDEMARSVIK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46288</v>
      </c>
      <c r="F257" t="inlineStr">
        <is>
          <t>ÖSTERGÖTLANDS LÄN</t>
        </is>
      </c>
      <c r="G257" t="inlineStr">
        <is>
          <t>VALDEMARSVIK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34572-2024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45526</v>
      </c>
      <c r="E258" s="1" t="n">
        <v>46288</v>
      </c>
      <c r="F258" t="inlineStr">
        <is>
          <t>ÖSTERGÖTLANDS LÄN</t>
        </is>
      </c>
      <c r="G258" t="inlineStr">
        <is>
          <t>VALDEMARSVIK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45597</v>
      </c>
      <c r="E259" s="1" t="n">
        <v>46288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46288</v>
      </c>
      <c r="F260" t="inlineStr">
        <is>
          <t>ÖSTERGÖTLANDS LÄN</t>
        </is>
      </c>
      <c r="G260" t="inlineStr">
        <is>
          <t>VALDEMARSVIK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46288</v>
      </c>
      <c r="F261" t="inlineStr">
        <is>
          <t>ÖSTERGÖTLANDS LÄN</t>
        </is>
      </c>
      <c r="G261" t="inlineStr">
        <is>
          <t>VALDEMARSVIK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46288</v>
      </c>
      <c r="F262" t="inlineStr">
        <is>
          <t>ÖSTERGÖTLANDS LÄN</t>
        </is>
      </c>
      <c r="G262" t="inlineStr">
        <is>
          <t>VALDEMARSVIK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46288</v>
      </c>
      <c r="F263" t="inlineStr">
        <is>
          <t>ÖSTERGÖTLANDS LÄN</t>
        </is>
      </c>
      <c r="G263" t="inlineStr">
        <is>
          <t>VALDEMARSVIK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46288</v>
      </c>
      <c r="F264" t="inlineStr">
        <is>
          <t>ÖSTERGÖTLANDS LÄN</t>
        </is>
      </c>
      <c r="G264" t="inlineStr">
        <is>
          <t>VALDEMARSVIK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60242-2022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46288</v>
      </c>
      <c r="F265" t="inlineStr">
        <is>
          <t>ÖSTERGÖTLANDS LÄN</t>
        </is>
      </c>
      <c r="G265" t="inlineStr">
        <is>
          <t>VALDEMARSVIK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9337-2022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44616</v>
      </c>
      <c r="E266" s="1" t="n">
        <v>46288</v>
      </c>
      <c r="F266" t="inlineStr">
        <is>
          <t>ÖSTERGÖTLANDS LÄN</t>
        </is>
      </c>
      <c r="G266" t="inlineStr">
        <is>
          <t>VALDEMARSVIK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45062</v>
      </c>
      <c r="E267" s="1" t="n">
        <v>46288</v>
      </c>
      <c r="F267" t="inlineStr">
        <is>
          <t>ÖSTERGÖTLANDS LÄN</t>
        </is>
      </c>
      <c r="G267" t="inlineStr">
        <is>
          <t>VALDEMARSVIK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46288</v>
      </c>
      <c r="F268" t="inlineStr">
        <is>
          <t>ÖSTERGÖTLANDS LÄN</t>
        </is>
      </c>
      <c r="G268" t="inlineStr">
        <is>
          <t>VALDEMARSVIK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46288</v>
      </c>
      <c r="F269" t="inlineStr">
        <is>
          <t>ÖSTERGÖTLANDS LÄN</t>
        </is>
      </c>
      <c r="G269" t="inlineStr">
        <is>
          <t>VALDEMARSVIK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46288</v>
      </c>
      <c r="F270" t="inlineStr">
        <is>
          <t>ÖSTERGÖTLANDS LÄN</t>
        </is>
      </c>
      <c r="G270" t="inlineStr">
        <is>
          <t>VALDEMARSVIK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45404</v>
      </c>
      <c r="E271" s="1" t="n">
        <v>46288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66424-2021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46288</v>
      </c>
      <c r="F272" t="inlineStr">
        <is>
          <t>ÖSTERGÖTLANDS LÄN</t>
        </is>
      </c>
      <c r="G272" t="inlineStr">
        <is>
          <t>VALDEMARSVIK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46288</v>
      </c>
      <c r="F273" t="inlineStr">
        <is>
          <t>ÖSTERGÖTLANDS LÄN</t>
        </is>
      </c>
      <c r="G273" t="inlineStr">
        <is>
          <t>VALDEMARSVIK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46288</v>
      </c>
      <c r="F274" t="inlineStr">
        <is>
          <t>ÖSTERGÖTLANDS LÄN</t>
        </is>
      </c>
      <c r="G274" t="inlineStr">
        <is>
          <t>VALDEMARSVIK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46288</v>
      </c>
      <c r="F275" t="inlineStr">
        <is>
          <t>ÖSTERGÖTLANDS LÄN</t>
        </is>
      </c>
      <c r="G275" t="inlineStr">
        <is>
          <t>VALDEMARSVIK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45287</v>
      </c>
      <c r="E276" s="1" t="n">
        <v>46288</v>
      </c>
      <c r="F276" t="inlineStr">
        <is>
          <t>ÖSTERGÖTLANDS LÄN</t>
        </is>
      </c>
      <c r="G276" t="inlineStr">
        <is>
          <t>VALDEMARSVIK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46288</v>
      </c>
      <c r="F277" t="inlineStr">
        <is>
          <t>ÖSTERGÖTLANDS LÄN</t>
        </is>
      </c>
      <c r="G277" t="inlineStr">
        <is>
          <t>VALDEMARSVIK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46288</v>
      </c>
      <c r="F278" t="inlineStr">
        <is>
          <t>ÖSTERGÖTLANDS LÄN</t>
        </is>
      </c>
      <c r="G278" t="inlineStr">
        <is>
          <t>VALDEMARSVIK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46288</v>
      </c>
      <c r="F279" t="inlineStr">
        <is>
          <t>ÖSTERGÖTLANDS LÄN</t>
        </is>
      </c>
      <c r="G279" t="inlineStr">
        <is>
          <t>VALDEMARSVIK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45797</v>
      </c>
      <c r="E280" s="1" t="n">
        <v>46288</v>
      </c>
      <c r="F280" t="inlineStr">
        <is>
          <t>ÖSTERGÖTLANDS LÄN</t>
        </is>
      </c>
      <c r="G280" t="inlineStr">
        <is>
          <t>VALDEMARSVIK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46288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46288</v>
      </c>
      <c r="F282" t="inlineStr">
        <is>
          <t>ÖSTERGÖTLANDS LÄN</t>
        </is>
      </c>
      <c r="G282" t="inlineStr">
        <is>
          <t>VALDEMARSVIK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22974-2025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45790</v>
      </c>
      <c r="E283" s="1" t="n">
        <v>46288</v>
      </c>
      <c r="F283" t="inlineStr">
        <is>
          <t>ÖSTERGÖTLANDS LÄN</t>
        </is>
      </c>
      <c r="G283" t="inlineStr">
        <is>
          <t>VALDEMARSVIK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45699</v>
      </c>
      <c r="E284" s="1" t="n">
        <v>46288</v>
      </c>
      <c r="F284" t="inlineStr">
        <is>
          <t>ÖSTERGÖTLANDS LÄN</t>
        </is>
      </c>
      <c r="G284" t="inlineStr">
        <is>
          <t>VALDEMARSVIK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46288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46288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46288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46288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46288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46288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2026-09-23T01:56:00Z</dcterms:created>
  <dcterms:modified xmlns:dcterms="http://purl.org/dc/terms/" xmlns:xsi="http://www.w3.org/2001/XMLSchema-instance" xsi:type="dcterms:W3CDTF">2026-09-23T01:56:00Z</dcterms:modified>
</cp:coreProperties>
</file>