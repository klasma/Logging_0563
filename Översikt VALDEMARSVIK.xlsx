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43506-2024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46280</v>
      </c>
      <c r="F2" t="inlineStr">
        <is>
          <t>ÖSTERGÖTLANDS LÄN</t>
        </is>
      </c>
      <c r="G2" t="inlineStr">
        <is>
          <t>VALDEMARSVIK</t>
        </is>
      </c>
      <c r="I2" t="n">
        <v>4.5</v>
      </c>
      <c r="J2" t="n">
        <v>6</v>
      </c>
      <c r="K2" t="n">
        <v>1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7</v>
      </c>
      <c r="T2" t="n">
        <v>22</v>
      </c>
      <c r="U2" t="n">
        <v>22</v>
      </c>
      <c r="V2" s="2" t="inlineStr">
        <is>
          <t>Knärot
Talltita
Blåmossa
Mattlummer
Spillkråka
Kungsfågel
Revlummer</t>
        </is>
      </c>
      <c r="W2">
        <f>HYPERLINK("https://klasma.github.io/Logging_0563/artfynd/A 43506-2024 artfynd.xlsx", "A 43506-2024")</f>
        <v/>
      </c>
      <c r="X2">
        <f>HYPERLINK("https://klasma.github.io/Logging_0563/kartor/A 43506-2024 karta.png", "A 43506-2024")</f>
        <v/>
      </c>
      <c r="Y2">
        <f>HYPERLINK("https://klasma.github.io/Logging_0563/kartor_geotiff/A 43506-2024 georefererad karta.tif", "A 43506-2024")</f>
        <v/>
      </c>
      <c r="Z2">
        <f>HYPERLINK("https://klasma.github.io/Logging_0563/knärot/A 43506-2024 karta knärot.png", "A 43506-2024")</f>
        <v/>
      </c>
      <c r="AA2">
        <f>HYPERLINK("https://klasma.github.io/Logging_0563/klagomål/A 43506-2024 FSC-klagomål.docx", "A 43506-2024")</f>
        <v/>
      </c>
      <c r="AB2">
        <f>HYPERLINK("https://klasma.github.io/Logging_0563/klagomålsmail/A 43506-2024 FSC-klagomål mail.docx", "A 43506-2024")</f>
        <v/>
      </c>
      <c r="AC2">
        <f>HYPERLINK("https://klasma.github.io/Logging_0563/tillsyn/A 43506-2024 tillsynsbegäran.docx", "A 43506-2024")</f>
        <v/>
      </c>
      <c r="AD2">
        <f>HYPERLINK("https://klasma.github.io/Logging_0563/tillsynsmail/A 43506-2024 tillsynsbegäran mail.docx", "A 43506-2024")</f>
        <v/>
      </c>
      <c r="AE2">
        <f>HYPERLINK("https://klasma.github.io/Logging_0563/fåglar/A 43506-2024 prioriterade fågelarter.docx", "A 43506-2024")</f>
        <v/>
      </c>
    </row>
    <row r="3" ht="15" customHeight="1">
      <c r="A3" t="inlineStr">
        <is>
          <t>A 43507-2024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46280</v>
      </c>
      <c r="F3" t="inlineStr">
        <is>
          <t>ÖSTERGÖTLANDS LÄN</t>
        </is>
      </c>
      <c r="G3" t="inlineStr">
        <is>
          <t>VALDEMARSVIK</t>
        </is>
      </c>
      <c r="I3" t="n">
        <v>6.1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10</v>
      </c>
      <c r="U3" t="n">
        <v>9</v>
      </c>
      <c r="V3" s="2" t="inlineStr">
        <is>
          <t>Mindre hackspett
Talltita
Blåmossa
Gullgröppa
Spillkråka
Myggblomster
Revlummer</t>
        </is>
      </c>
      <c r="W3">
        <f>HYPERLINK("https://klasma.github.io/Logging_0563/artfynd/A 43507-2024 artfynd.xlsx", "A 43507-2024")</f>
        <v/>
      </c>
      <c r="X3">
        <f>HYPERLINK("https://klasma.github.io/Logging_0563/kartor/A 43507-2024 karta.png", "A 43507-2024")</f>
        <v/>
      </c>
      <c r="Y3">
        <f>HYPERLINK("https://klasma.github.io/Logging_0563/kartor_geotiff/A 43507-2024 georefererad karta.tif", "A 43507-2024")</f>
        <v/>
      </c>
      <c r="AA3">
        <f>HYPERLINK("https://klasma.github.io/Logging_0563/klagomål/A 43507-2024 FSC-klagomål.docx", "A 43507-2024")</f>
        <v/>
      </c>
      <c r="AB3">
        <f>HYPERLINK("https://klasma.github.io/Logging_0563/klagomålsmail/A 43507-2024 FSC-klagomål mail.docx", "A 43507-2024")</f>
        <v/>
      </c>
      <c r="AC3">
        <f>HYPERLINK("https://klasma.github.io/Logging_0563/tillsyn/A 43507-2024 tillsynsbegäran.docx", "A 43507-2024")</f>
        <v/>
      </c>
      <c r="AD3">
        <f>HYPERLINK("https://klasma.github.io/Logging_0563/tillsynsmail/A 43507-2024 tillsynsbegäran mail.docx", "A 43507-2024")</f>
        <v/>
      </c>
      <c r="AE3">
        <f>HYPERLINK("https://klasma.github.io/Logging_0563/fåglar/A 43507-2024 prioriterade fågelarter.docx", "A 43507-2024")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46280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46280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46280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1075-2022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44571</v>
      </c>
      <c r="E7" s="1" t="n">
        <v>46280</v>
      </c>
      <c r="F7" t="inlineStr">
        <is>
          <t>ÖSTERGÖTLANDS LÄN</t>
        </is>
      </c>
      <c r="G7" t="inlineStr">
        <is>
          <t>VALDEMARSVIK</t>
        </is>
      </c>
      <c r="I7" t="n">
        <v>2.3</v>
      </c>
      <c r="J7" t="n">
        <v>1</v>
      </c>
      <c r="K7" t="n">
        <v>3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17</v>
      </c>
      <c r="U7" t="n">
        <v>17</v>
      </c>
      <c r="V7" s="2" t="inlineStr">
        <is>
          <t>Knärot
Tallticka
Blåmossa
Grönpyrola
Rostfläck</t>
        </is>
      </c>
      <c r="W7">
        <f>HYPERLINK("https://klasma.github.io/Logging_0563/artfynd/A 1075-2022 artfynd.xlsx", "A 1075-2022")</f>
        <v/>
      </c>
      <c r="X7">
        <f>HYPERLINK("https://klasma.github.io/Logging_0563/kartor/A 1075-2022 karta.png", "A 1075-2022")</f>
        <v/>
      </c>
      <c r="Y7">
        <f>HYPERLINK("https://klasma.github.io/Logging_0563/kartor_geotiff/A 1075-2022 georefererad karta.tif", "A 1075-2022")</f>
        <v/>
      </c>
      <c r="Z7">
        <f>HYPERLINK("https://klasma.github.io/Logging_0563/knärot/A 1075-2022 karta knärot.png", "A 1075-2022")</f>
        <v/>
      </c>
      <c r="AA7">
        <f>HYPERLINK("https://klasma.github.io/Logging_0563/klagomål/A 1075-2022 FSC-klagomål.docx", "A 1075-2022")</f>
        <v/>
      </c>
      <c r="AB7">
        <f>HYPERLINK("https://klasma.github.io/Logging_0563/klagomålsmail/A 1075-2022 FSC-klagomål mail.docx", "A 1075-2022")</f>
        <v/>
      </c>
      <c r="AC7">
        <f>HYPERLINK("https://klasma.github.io/Logging_0563/tillsyn/A 1075-2022 tillsynsbegäran.docx", "A 1075-2022")</f>
        <v/>
      </c>
      <c r="AD7">
        <f>HYPERLINK("https://klasma.github.io/Logging_0563/tillsynsmail/A 1075-2022 tillsynsbegäran mail.docx", "A 1075-2022")</f>
        <v/>
      </c>
    </row>
    <row r="8" ht="15" customHeight="1">
      <c r="A8" t="inlineStr">
        <is>
          <t>A 46766-2025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45926</v>
      </c>
      <c r="E8" s="1" t="n">
        <v>46280</v>
      </c>
      <c r="F8" t="inlineStr">
        <is>
          <t>ÖSTERGÖTLANDS LÄN</t>
        </is>
      </c>
      <c r="G8" t="inlineStr">
        <is>
          <t>VALDEMARSVIK</t>
        </is>
      </c>
      <c r="I8" t="n">
        <v>1.9</v>
      </c>
      <c r="J8" t="n">
        <v>2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8</v>
      </c>
      <c r="U8" t="n">
        <v>8</v>
      </c>
      <c r="V8" s="2" t="inlineStr">
        <is>
          <t>Knärot
Bronshjon
Flagellkvastmossa
Stubbspretmossa
Mattlummer</t>
        </is>
      </c>
      <c r="W8">
        <f>HYPERLINK("https://klasma.github.io/Logging_0563/artfynd/A 46766-2025 artfynd.xlsx", "A 46766-2025")</f>
        <v/>
      </c>
      <c r="X8">
        <f>HYPERLINK("https://klasma.github.io/Logging_0563/kartor/A 46766-2025 karta.png", "A 46766-2025")</f>
        <v/>
      </c>
      <c r="Y8">
        <f>HYPERLINK("https://klasma.github.io/Logging_0563/kartor_geotiff/A 46766-2025 georefererad karta.tif", "A 46766-2025")</f>
        <v/>
      </c>
      <c r="Z8">
        <f>HYPERLINK("https://klasma.github.io/Logging_0563/knärot/A 46766-2025 karta knärot.png", "A 46766-2025")</f>
        <v/>
      </c>
      <c r="AA8">
        <f>HYPERLINK("https://klasma.github.io/Logging_0563/klagomål/A 46766-2025 FSC-klagomål.docx", "A 46766-2025")</f>
        <v/>
      </c>
      <c r="AB8">
        <f>HYPERLINK("https://klasma.github.io/Logging_0563/klagomålsmail/A 46766-2025 FSC-klagomål mail.docx", "A 46766-2025")</f>
        <v/>
      </c>
      <c r="AC8">
        <f>HYPERLINK("https://klasma.github.io/Logging_0563/tillsyn/A 46766-2025 tillsynsbegäran.docx", "A 46766-2025")</f>
        <v/>
      </c>
      <c r="AD8">
        <f>HYPERLINK("https://klasma.github.io/Logging_0563/tillsynsmail/A 46766-2025 tillsynsbegäran mail.docx", "A 46766-2025")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46280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46280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46280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46280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46280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46280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46280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23067-2025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45790</v>
      </c>
      <c r="E16" s="1" t="n">
        <v>46280</v>
      </c>
      <c r="F16" t="inlineStr">
        <is>
          <t>ÖSTERGÖTLANDS LÄN</t>
        </is>
      </c>
      <c r="G16" t="inlineStr">
        <is>
          <t>VALDEMARSVIK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HYPERLINK("https://klasma.github.io/Logging_0563/artfynd/A 23067-2025 artfynd.xlsx", "A 23067-2025")</f>
        <v/>
      </c>
      <c r="X16">
        <f>HYPERLINK("https://klasma.github.io/Logging_0563/kartor/A 23067-2025 karta.png", "A 23067-2025")</f>
        <v/>
      </c>
      <c r="Y16">
        <f>HYPERLINK("https://klasma.github.io/Logging_0563/kartor_geotiff/A 23067-2025 georefererad karta.tif", "A 23067-2025")</f>
        <v/>
      </c>
      <c r="AA16">
        <f>HYPERLINK("https://klasma.github.io/Logging_0563/klagomål/A 23067-2025 FSC-klagomål.docx", "A 23067-2025")</f>
        <v/>
      </c>
      <c r="AB16">
        <f>HYPERLINK("https://klasma.github.io/Logging_0563/klagomålsmail/A 23067-2025 FSC-klagomål mail.docx", "A 23067-2025")</f>
        <v/>
      </c>
      <c r="AC16">
        <f>HYPERLINK("https://klasma.github.io/Logging_0563/tillsyn/A 23067-2025 tillsynsbegäran.docx", "A 23067-2025")</f>
        <v/>
      </c>
      <c r="AD16">
        <f>HYPERLINK("https://klasma.github.io/Logging_0563/tillsynsmail/A 23067-2025 tillsynsbegäran mail.docx", "A 23067-2025")</f>
        <v/>
      </c>
      <c r="AE16">
        <f>HYPERLINK("https://klasma.github.io/Logging_0563/fåglar/A 23067-2025 prioriterade fågelarter.docx", "A 23067-2025")</f>
        <v/>
      </c>
    </row>
    <row r="17" ht="15" customHeight="1">
      <c r="A17" t="inlineStr">
        <is>
          <t>A 1543-2022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46280</v>
      </c>
      <c r="F17" t="inlineStr">
        <is>
          <t>ÖSTERGÖTLANDS LÄN</t>
        </is>
      </c>
      <c r="G17" t="inlineStr">
        <is>
          <t>VALDEMARSVIK</t>
        </is>
      </c>
      <c r="I17" t="n">
        <v>6.5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Hasselsnok</t>
        </is>
      </c>
      <c r="W17">
        <f>HYPERLINK("https://klasma.github.io/Logging_0563/artfynd/A 1543-2022 artfynd.xlsx", "A 1543-2022")</f>
        <v/>
      </c>
      <c r="X17">
        <f>HYPERLINK("https://klasma.github.io/Logging_0563/kartor/A 1543-2022 karta.png", "A 1543-2022")</f>
        <v/>
      </c>
      <c r="Y17">
        <f>HYPERLINK("https://klasma.github.io/Logging_0563/kartor_geotiff/A 1543-2022 georefererad karta.tif", "A 1543-2022")</f>
        <v/>
      </c>
      <c r="AA17">
        <f>HYPERLINK("https://klasma.github.io/Logging_0563/klagomål/A 1543-2022 FSC-klagomål.docx", "A 1543-2022")</f>
        <v/>
      </c>
      <c r="AB17">
        <f>HYPERLINK("https://klasma.github.io/Logging_0563/klagomålsmail/A 1543-2022 FSC-klagomål mail.docx", "A 1543-2022")</f>
        <v/>
      </c>
      <c r="AC17">
        <f>HYPERLINK("https://klasma.github.io/Logging_0563/tillsyn/A 1543-2022 tillsynsbegäran.docx", "A 1543-2022")</f>
        <v/>
      </c>
      <c r="AD17">
        <f>HYPERLINK("https://klasma.github.io/Logging_0563/tillsynsmail/A 1543-2022 tillsynsbegäran mail.docx", "A 1543-2022")</f>
        <v/>
      </c>
    </row>
    <row r="18" ht="15" customHeight="1">
      <c r="A18" t="inlineStr">
        <is>
          <t>A 53785-2021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44463</v>
      </c>
      <c r="E18" s="1" t="n">
        <v>46280</v>
      </c>
      <c r="F18" t="inlineStr">
        <is>
          <t>ÖSTERGÖTLANDS LÄN</t>
        </is>
      </c>
      <c r="G18" t="inlineStr">
        <is>
          <t>VALDEMARSVIK</t>
        </is>
      </c>
      <c r="H18" t="inlineStr">
        <is>
          <t>Övriga Aktiebolag</t>
        </is>
      </c>
      <c r="I18" t="n">
        <v>6.9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Ekoxe</t>
        </is>
      </c>
      <c r="W18">
        <f>HYPERLINK("https://klasma.github.io/Logging_0563/artfynd/A 53785-2021 artfynd.xlsx", "A 53785-2021")</f>
        <v/>
      </c>
      <c r="X18">
        <f>HYPERLINK("https://klasma.github.io/Logging_0563/kartor/A 53785-2021 karta.png", "A 53785-2021")</f>
        <v/>
      </c>
      <c r="Y18">
        <f>HYPERLINK("https://klasma.github.io/Logging_0563/kartor_geotiff/A 53785-2021 georefererad karta.tif", "A 53785-2021")</f>
        <v/>
      </c>
      <c r="AA18">
        <f>HYPERLINK("https://klasma.github.io/Logging_0563/klagomål/A 53785-2021 FSC-klagomål.docx", "A 53785-2021")</f>
        <v/>
      </c>
      <c r="AB18">
        <f>HYPERLINK("https://klasma.github.io/Logging_0563/klagomålsmail/A 53785-2021 FSC-klagomål mail.docx", "A 53785-2021")</f>
        <v/>
      </c>
      <c r="AC18">
        <f>HYPERLINK("https://klasma.github.io/Logging_0563/tillsyn/A 53785-2021 tillsynsbegäran.docx", "A 53785-2021")</f>
        <v/>
      </c>
      <c r="AD18">
        <f>HYPERLINK("https://klasma.github.io/Logging_0563/tillsynsmail/A 53785-2021 tillsynsbegäran mail.docx", "A 53785-2021")</f>
        <v/>
      </c>
    </row>
    <row r="19" ht="15" customHeight="1">
      <c r="A19" t="inlineStr">
        <is>
          <t>A 4148-2024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45323</v>
      </c>
      <c r="E19" s="1" t="n">
        <v>46280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Gullviva</t>
        </is>
      </c>
      <c r="W19">
        <f>HYPERLINK("https://klasma.github.io/Logging_0563/artfynd/A 4148-2024 artfynd.xlsx", "A 4148-2024")</f>
        <v/>
      </c>
      <c r="X19">
        <f>HYPERLINK("https://klasma.github.io/Logging_0563/kartor/A 4148-2024 karta.png", "A 4148-2024")</f>
        <v/>
      </c>
      <c r="Y19">
        <f>HYPERLINK("https://klasma.github.io/Logging_0563/kartor_geotiff/A 4148-2024 georefererad karta.tif", "A 4148-2024")</f>
        <v/>
      </c>
      <c r="AA19">
        <f>HYPERLINK("https://klasma.github.io/Logging_0563/klagomål/A 4148-2024 FSC-klagomål.docx", "A 4148-2024")</f>
        <v/>
      </c>
      <c r="AB19">
        <f>HYPERLINK("https://klasma.github.io/Logging_0563/klagomålsmail/A 4148-2024 FSC-klagomål mail.docx", "A 4148-2024")</f>
        <v/>
      </c>
      <c r="AC19">
        <f>HYPERLINK("https://klasma.github.io/Logging_0563/tillsyn/A 4148-2024 tillsynsbegäran.docx", "A 4148-2024")</f>
        <v/>
      </c>
      <c r="AD19">
        <f>HYPERLINK("https://klasma.github.io/Logging_0563/tillsynsmail/A 4148-2024 tillsynsbegäran mail.docx", "A 4148-2024")</f>
        <v/>
      </c>
    </row>
    <row r="20" ht="15" customHeight="1">
      <c r="A20" t="inlineStr">
        <is>
          <t>A 5414-2024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45331</v>
      </c>
      <c r="E20" s="1" t="n">
        <v>46280</v>
      </c>
      <c r="F20" t="inlineStr">
        <is>
          <t>ÖSTERGÖTLANDS LÄN</t>
        </is>
      </c>
      <c r="G20" t="inlineStr">
        <is>
          <t>VALDEMARSVIK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Tallticka</t>
        </is>
      </c>
      <c r="W20">
        <f>HYPERLINK("https://klasma.github.io/Logging_0563/artfynd/A 5414-2024 artfynd.xlsx", "A 5414-2024")</f>
        <v/>
      </c>
      <c r="X20">
        <f>HYPERLINK("https://klasma.github.io/Logging_0563/kartor/A 5414-2024 karta.png", "A 5414-2024")</f>
        <v/>
      </c>
      <c r="Y20">
        <f>HYPERLINK("https://klasma.github.io/Logging_0563/kartor_geotiff/A 5414-2024 georefererad karta.tif", "A 5414-2024")</f>
        <v/>
      </c>
      <c r="AA20">
        <f>HYPERLINK("https://klasma.github.io/Logging_0563/klagomål/A 5414-2024 FSC-klagomål.docx", "A 5414-2024")</f>
        <v/>
      </c>
      <c r="AB20">
        <f>HYPERLINK("https://klasma.github.io/Logging_0563/klagomålsmail/A 5414-2024 FSC-klagomål mail.docx", "A 5414-2024")</f>
        <v/>
      </c>
      <c r="AC20">
        <f>HYPERLINK("https://klasma.github.io/Logging_0563/tillsyn/A 5414-2024 tillsynsbegäran.docx", "A 5414-2024")</f>
        <v/>
      </c>
      <c r="AD20">
        <f>HYPERLINK("https://klasma.github.io/Logging_0563/tillsynsmail/A 5414-2024 tillsynsbegäran mail.docx", "A 5414-2024")</f>
        <v/>
      </c>
    </row>
    <row r="21" ht="15" customHeight="1">
      <c r="A21" t="inlineStr">
        <is>
          <t>A 11749-2023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44994</v>
      </c>
      <c r="E21" s="1" t="n">
        <v>46280</v>
      </c>
      <c r="F21" t="inlineStr">
        <is>
          <t>ÖSTERGÖTLANDS LÄN</t>
        </is>
      </c>
      <c r="G21" t="inlineStr">
        <is>
          <t>VALDEMARSVIK</t>
        </is>
      </c>
      <c r="I21" t="n">
        <v>2.4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Adam och eva</t>
        </is>
      </c>
      <c r="W21">
        <f>HYPERLINK("https://klasma.github.io/Logging_0563/artfynd/A 11749-2023 artfynd.xlsx", "A 11749-2023")</f>
        <v/>
      </c>
      <c r="X21">
        <f>HYPERLINK("https://klasma.github.io/Logging_0563/kartor/A 11749-2023 karta.png", "A 11749-2023")</f>
        <v/>
      </c>
      <c r="Y21">
        <f>HYPERLINK("https://klasma.github.io/Logging_0563/kartor_geotiff/A 11749-2023 georefererad karta.tif", "A 11749-2023")</f>
        <v/>
      </c>
      <c r="AA21">
        <f>HYPERLINK("https://klasma.github.io/Logging_0563/klagomål/A 11749-2023 FSC-klagomål.docx", "A 11749-2023")</f>
        <v/>
      </c>
      <c r="AB21">
        <f>HYPERLINK("https://klasma.github.io/Logging_0563/klagomålsmail/A 11749-2023 FSC-klagomål mail.docx", "A 11749-2023")</f>
        <v/>
      </c>
      <c r="AC21">
        <f>HYPERLINK("https://klasma.github.io/Logging_0563/tillsyn/A 11749-2023 tillsynsbegäran.docx", "A 11749-2023")</f>
        <v/>
      </c>
      <c r="AD21">
        <f>HYPERLINK("https://klasma.github.io/Logging_0563/tillsynsmail/A 11749-2023 tillsynsbegäran mail.docx", "A 11749-2023")</f>
        <v/>
      </c>
    </row>
    <row r="22" ht="15" customHeight="1">
      <c r="A22" t="inlineStr">
        <is>
          <t>A 40874-2023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46280</v>
      </c>
      <c r="F22" t="inlineStr">
        <is>
          <t>ÖSTERGÖTLANDS LÄN</t>
        </is>
      </c>
      <c r="G22" t="inlineStr">
        <is>
          <t>VALDEMARSVIK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Lopplummer (aggregat)</t>
        </is>
      </c>
      <c r="W22">
        <f>HYPERLINK("https://klasma.github.io/Logging_0563/artfynd/A 40874-2023 artfynd.xlsx", "A 40874-2023")</f>
        <v/>
      </c>
      <c r="X22">
        <f>HYPERLINK("https://klasma.github.io/Logging_0563/kartor/A 40874-2023 karta.png", "A 40874-2023")</f>
        <v/>
      </c>
      <c r="Y22">
        <f>HYPERLINK("https://klasma.github.io/Logging_0563/kartor_geotiff/A 40874-2023 georefererad karta.tif", "A 40874-2023")</f>
        <v/>
      </c>
      <c r="AA22">
        <f>HYPERLINK("https://klasma.github.io/Logging_0563/klagomål/A 40874-2023 FSC-klagomål.docx", "A 40874-2023")</f>
        <v/>
      </c>
      <c r="AB22">
        <f>HYPERLINK("https://klasma.github.io/Logging_0563/klagomålsmail/A 40874-2023 FSC-klagomål mail.docx", "A 40874-2023")</f>
        <v/>
      </c>
      <c r="AC22">
        <f>HYPERLINK("https://klasma.github.io/Logging_0563/tillsyn/A 40874-2023 tillsynsbegäran.docx", "A 40874-2023")</f>
        <v/>
      </c>
      <c r="AD22">
        <f>HYPERLINK("https://klasma.github.io/Logging_0563/tillsynsmail/A 40874-2023 tillsynsbegäran mail.docx", "A 40874-2023")</f>
        <v/>
      </c>
    </row>
    <row r="23" ht="15" customHeight="1">
      <c r="A23" t="inlineStr">
        <is>
          <t>A 18758-2023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45043</v>
      </c>
      <c r="E23" s="1" t="n">
        <v>46280</v>
      </c>
      <c r="F23" t="inlineStr">
        <is>
          <t>ÖSTERGÖTLANDS LÄN</t>
        </is>
      </c>
      <c r="G23" t="inlineStr">
        <is>
          <t>VALDEMARSVIK</t>
        </is>
      </c>
      <c r="I23" t="n">
        <v>2.9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HYPERLINK("https://klasma.github.io/Logging_0563/artfynd/A 18758-2023 artfynd.xlsx", "A 18758-2023")</f>
        <v/>
      </c>
      <c r="X23">
        <f>HYPERLINK("https://klasma.github.io/Logging_0563/kartor/A 18758-2023 karta.png", "A 18758-2023")</f>
        <v/>
      </c>
      <c r="Y23">
        <f>HYPERLINK("https://klasma.github.io/Logging_0563/kartor_geotiff/A 18758-2023 georefererad karta.tif", "A 18758-2023")</f>
        <v/>
      </c>
      <c r="Z23">
        <f>HYPERLINK("https://klasma.github.io/Logging_0563/knärot/A 18758-2023 karta knärot.png", "A 18758-2023")</f>
        <v/>
      </c>
      <c r="AA23">
        <f>HYPERLINK("https://klasma.github.io/Logging_0563/klagomål/A 18758-2023 FSC-klagomål.docx", "A 18758-2023")</f>
        <v/>
      </c>
      <c r="AB23">
        <f>HYPERLINK("https://klasma.github.io/Logging_0563/klagomålsmail/A 18758-2023 FSC-klagomål mail.docx", "A 18758-2023")</f>
        <v/>
      </c>
      <c r="AC23">
        <f>HYPERLINK("https://klasma.github.io/Logging_0563/tillsyn/A 18758-2023 tillsynsbegäran.docx", "A 18758-2023")</f>
        <v/>
      </c>
      <c r="AD23">
        <f>HYPERLINK("https://klasma.github.io/Logging_0563/tillsynsmail/A 18758-2023 tillsynsbegäran mail.docx", "A 18758-2023")</f>
        <v/>
      </c>
    </row>
    <row r="24" ht="15" customHeight="1">
      <c r="A24" t="inlineStr">
        <is>
          <t>A 27253-2026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46280</v>
      </c>
      <c r="F24" t="inlineStr">
        <is>
          <t>ÖSTERGÖTLANDS LÄN</t>
        </is>
      </c>
      <c r="G24" t="inlineStr">
        <is>
          <t>VALDEMARSVIK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HYPERLINK("https://klasma.github.io/Logging_0563/artfynd/A 27253-2026 artfynd.xlsx", "A 27253-2026")</f>
        <v/>
      </c>
      <c r="X24">
        <f>HYPERLINK("https://klasma.github.io/Logging_0563/kartor/A 27253-2026 karta.png", "A 27253-2026")</f>
        <v/>
      </c>
      <c r="Y24">
        <f>HYPERLINK("https://klasma.github.io/Logging_0563/kartor_geotiff/A 27253-2026 georefererad karta.tif", "A 27253-2026")</f>
        <v/>
      </c>
      <c r="Z24">
        <f>HYPERLINK("https://klasma.github.io/Logging_0563/knärot/A 27253-2026 karta knärot.png", "A 27253-2026")</f>
        <v/>
      </c>
      <c r="AA24">
        <f>HYPERLINK("https://klasma.github.io/Logging_0563/klagomål/A 27253-2026 FSC-klagomål.docx", "A 27253-2026")</f>
        <v/>
      </c>
      <c r="AB24">
        <f>HYPERLINK("https://klasma.github.io/Logging_0563/klagomålsmail/A 27253-2026 FSC-klagomål mail.docx", "A 27253-2026")</f>
        <v/>
      </c>
      <c r="AC24">
        <f>HYPERLINK("https://klasma.github.io/Logging_0563/tillsyn/A 27253-2026 tillsynsbegäran.docx", "A 27253-2026")</f>
        <v/>
      </c>
      <c r="AD24">
        <f>HYPERLINK("https://klasma.github.io/Logging_0563/tillsynsmail/A 27253-2026 tillsynsbegäran mail.docx", "A 27253-2026")</f>
        <v/>
      </c>
    </row>
    <row r="25" ht="15" customHeight="1">
      <c r="A25" t="inlineStr">
        <is>
          <t>A 4051-2023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44952</v>
      </c>
      <c r="E25" s="1" t="n">
        <v>46280</v>
      </c>
      <c r="F25" t="inlineStr">
        <is>
          <t>ÖSTERGÖTLANDS LÄN</t>
        </is>
      </c>
      <c r="G25" t="inlineStr">
        <is>
          <t>VALDEMARSVIK</t>
        </is>
      </c>
      <c r="I25" t="n">
        <v>2.5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HYPERLINK("https://klasma.github.io/Logging_0563/artfynd/A 4051-2023 artfynd.xlsx", "A 4051-2023")</f>
        <v/>
      </c>
      <c r="X25">
        <f>HYPERLINK("https://klasma.github.io/Logging_0563/kartor/A 4051-2023 karta.png", "A 4051-2023")</f>
        <v/>
      </c>
      <c r="Y25">
        <f>HYPERLINK("https://klasma.github.io/Logging_0563/kartor_geotiff/A 4051-2023 georefererad karta.tif", "A 4051-2023")</f>
        <v/>
      </c>
      <c r="AA25">
        <f>HYPERLINK("https://klasma.github.io/Logging_0563/klagomål/A 4051-2023 FSC-klagomål.docx", "A 4051-2023")</f>
        <v/>
      </c>
      <c r="AB25">
        <f>HYPERLINK("https://klasma.github.io/Logging_0563/klagomålsmail/A 4051-2023 FSC-klagomål mail.docx", "A 4051-2023")</f>
        <v/>
      </c>
      <c r="AC25">
        <f>HYPERLINK("https://klasma.github.io/Logging_0563/tillsyn/A 4051-2023 tillsynsbegäran.docx", "A 4051-2023")</f>
        <v/>
      </c>
      <c r="AD25">
        <f>HYPERLINK("https://klasma.github.io/Logging_0563/tillsynsmail/A 4051-2023 tillsynsbegäran mail.docx", "A 4051-2023")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46280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46280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47632-2022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44852</v>
      </c>
      <c r="E28" s="1" t="n">
        <v>46280</v>
      </c>
      <c r="F28" t="inlineStr">
        <is>
          <t>ÖSTERGÖTLANDS LÄN</t>
        </is>
      </c>
      <c r="G28" t="inlineStr">
        <is>
          <t>VALDEMARSVIK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51436-2022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46280</v>
      </c>
      <c r="F29" t="inlineStr">
        <is>
          <t>ÖSTERGÖTLANDS LÄN</t>
        </is>
      </c>
      <c r="G29" t="inlineStr">
        <is>
          <t>VALDEMARSVIK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18684-2022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44687</v>
      </c>
      <c r="E30" s="1" t="n">
        <v>46280</v>
      </c>
      <c r="F30" t="inlineStr">
        <is>
          <t>ÖSTERGÖTLANDS LÄN</t>
        </is>
      </c>
      <c r="G30" t="inlineStr">
        <is>
          <t>VALDEMARSVIK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46280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46280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46280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46280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46280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46280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46280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44564</v>
      </c>
      <c r="E38" s="1" t="n">
        <v>46280</v>
      </c>
      <c r="F38" t="inlineStr">
        <is>
          <t>ÖSTERGÖTLANDS LÄN</t>
        </is>
      </c>
      <c r="G38" t="inlineStr">
        <is>
          <t>VALDEMARSVIK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46280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46280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46280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46280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46280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46280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46280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46280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46280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49299-2021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44454</v>
      </c>
      <c r="E48" s="1" t="n">
        <v>46280</v>
      </c>
      <c r="F48" t="inlineStr">
        <is>
          <t>ÖSTERGÖTLANDS LÄN</t>
        </is>
      </c>
      <c r="G48" t="inlineStr">
        <is>
          <t>VALDEMARSVIK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54230-2022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46280</v>
      </c>
      <c r="F49" t="inlineStr">
        <is>
          <t>ÖSTERGÖTLANDS LÄN</t>
        </is>
      </c>
      <c r="G49" t="inlineStr">
        <is>
          <t>VALDEMARSVIK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46280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46280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46280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46280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46280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46280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29424-2022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46280</v>
      </c>
      <c r="F56" t="inlineStr">
        <is>
          <t>ÖSTERGÖTLANDS LÄN</t>
        </is>
      </c>
      <c r="G56" t="inlineStr">
        <is>
          <t>VALDEMARSVIK</t>
        </is>
      </c>
      <c r="I56" t="n">
        <v>5.4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4627-2025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45687</v>
      </c>
      <c r="E57" s="1" t="n">
        <v>46280</v>
      </c>
      <c r="F57" t="inlineStr">
        <is>
          <t>ÖSTERGÖTLANDS LÄN</t>
        </is>
      </c>
      <c r="G57" t="inlineStr">
        <is>
          <t>VALDEMARSVIK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45597</v>
      </c>
      <c r="E58" s="1" t="n">
        <v>46280</v>
      </c>
      <c r="F58" t="inlineStr">
        <is>
          <t>ÖSTERGÖTLANDS LÄN</t>
        </is>
      </c>
      <c r="G58" t="inlineStr">
        <is>
          <t>VALDEMARSVIK</t>
        </is>
      </c>
      <c r="H58" t="inlineStr">
        <is>
          <t>Holmen skog AB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7634-2022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46280</v>
      </c>
      <c r="F59" t="inlineStr">
        <is>
          <t>ÖSTERGÖTLANDS LÄN</t>
        </is>
      </c>
      <c r="G59" t="inlineStr">
        <is>
          <t>VALDEMARSVIK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48243-2024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45590</v>
      </c>
      <c r="E60" s="1" t="n">
        <v>46280</v>
      </c>
      <c r="F60" t="inlineStr">
        <is>
          <t>ÖSTERGÖTLANDS LÄN</t>
        </is>
      </c>
      <c r="G60" t="inlineStr">
        <is>
          <t>VALDEMARSVIK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37421-2024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45540</v>
      </c>
      <c r="E61" s="1" t="n">
        <v>46280</v>
      </c>
      <c r="F61" t="inlineStr">
        <is>
          <t>ÖSTERGÖTLANDS LÄN</t>
        </is>
      </c>
      <c r="G61" t="inlineStr">
        <is>
          <t>VALDEMARSVIK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19937-2024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45433</v>
      </c>
      <c r="E62" s="1" t="n">
        <v>46280</v>
      </c>
      <c r="F62" t="inlineStr">
        <is>
          <t>ÖSTERGÖTLANDS LÄN</t>
        </is>
      </c>
      <c r="G62" t="inlineStr">
        <is>
          <t>VALDEMARSVIK</t>
        </is>
      </c>
      <c r="I62" t="n">
        <v>11.9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18961-2022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44690</v>
      </c>
      <c r="E63" s="1" t="n">
        <v>46280</v>
      </c>
      <c r="F63" t="inlineStr">
        <is>
          <t>ÖSTERGÖTLANDS LÄN</t>
        </is>
      </c>
      <c r="G63" t="inlineStr">
        <is>
          <t>VALDEMARSVIK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46280</v>
      </c>
      <c r="F64" t="inlineStr">
        <is>
          <t>ÖSTERGÖTLANDS LÄN</t>
        </is>
      </c>
      <c r="G64" t="inlineStr">
        <is>
          <t>VALDEMARSVIK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35908-2023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45148</v>
      </c>
      <c r="E65" s="1" t="n">
        <v>46280</v>
      </c>
      <c r="F65" t="inlineStr">
        <is>
          <t>ÖSTERGÖTLANDS LÄN</t>
        </is>
      </c>
      <c r="G65" t="inlineStr">
        <is>
          <t>VALDEMARSVIK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46280</v>
      </c>
      <c r="F66" t="inlineStr">
        <is>
          <t>ÖSTERGÖTLANDS LÄN</t>
        </is>
      </c>
      <c r="G66" t="inlineStr">
        <is>
          <t>VALDEMARSVIK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59516-2023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45254</v>
      </c>
      <c r="E67" s="1" t="n">
        <v>46280</v>
      </c>
      <c r="F67" t="inlineStr">
        <is>
          <t>ÖSTERGÖTLANDS LÄN</t>
        </is>
      </c>
      <c r="G67" t="inlineStr">
        <is>
          <t>VALDEMARSVIK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45590</v>
      </c>
      <c r="E68" s="1" t="n">
        <v>46280</v>
      </c>
      <c r="F68" t="inlineStr">
        <is>
          <t>ÖSTERGÖTLANDS LÄN</t>
        </is>
      </c>
      <c r="G68" t="inlineStr">
        <is>
          <t>VALDEMARSVIK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4856-2023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44957</v>
      </c>
      <c r="E69" s="1" t="n">
        <v>46280</v>
      </c>
      <c r="F69" t="inlineStr">
        <is>
          <t>ÖSTERGÖTLANDS LÄN</t>
        </is>
      </c>
      <c r="G69" t="inlineStr">
        <is>
          <t>VALDEMARSVIK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15541-2023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45020</v>
      </c>
      <c r="E70" s="1" t="n">
        <v>46280</v>
      </c>
      <c r="F70" t="inlineStr">
        <is>
          <t>ÖSTERGÖTLANDS LÄN</t>
        </is>
      </c>
      <c r="G70" t="inlineStr">
        <is>
          <t>VALDEMARSVIK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16342-2023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45028</v>
      </c>
      <c r="E71" s="1" t="n">
        <v>46280</v>
      </c>
      <c r="F71" t="inlineStr">
        <is>
          <t>ÖSTERGÖTLANDS LÄN</t>
        </is>
      </c>
      <c r="G71" t="inlineStr">
        <is>
          <t>VALDEMARSVIK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44640-2023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45189</v>
      </c>
      <c r="E72" s="1" t="n">
        <v>46280</v>
      </c>
      <c r="F72" t="inlineStr">
        <is>
          <t>ÖSTERGÖTLANDS LÄN</t>
        </is>
      </c>
      <c r="G72" t="inlineStr">
        <is>
          <t>VALDEMARSVIK</t>
        </is>
      </c>
      <c r="I72" t="n">
        <v>4.6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29008-2022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44749</v>
      </c>
      <c r="E73" s="1" t="n">
        <v>46280</v>
      </c>
      <c r="F73" t="inlineStr">
        <is>
          <t>ÖSTERGÖTLANDS LÄN</t>
        </is>
      </c>
      <c r="G73" t="inlineStr">
        <is>
          <t>VALDEMARSVIK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7237-2024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45344</v>
      </c>
      <c r="E74" s="1" t="n">
        <v>46280</v>
      </c>
      <c r="F74" t="inlineStr">
        <is>
          <t>ÖSTERGÖTLANDS LÄN</t>
        </is>
      </c>
      <c r="G74" t="inlineStr">
        <is>
          <t>VALDEMARSVIK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24367-2025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45797</v>
      </c>
      <c r="E75" s="1" t="n">
        <v>46280</v>
      </c>
      <c r="F75" t="inlineStr">
        <is>
          <t>ÖSTERGÖTLANDS LÄN</t>
        </is>
      </c>
      <c r="G75" t="inlineStr">
        <is>
          <t>VALDEMARSVIK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62239-2025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46006</v>
      </c>
      <c r="E76" s="1" t="n">
        <v>46280</v>
      </c>
      <c r="F76" t="inlineStr">
        <is>
          <t>ÖSTERGÖTLANDS LÄN</t>
        </is>
      </c>
      <c r="G76" t="inlineStr">
        <is>
          <t>VALDEMARSVIK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10184-2025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45719</v>
      </c>
      <c r="E77" s="1" t="n">
        <v>46280</v>
      </c>
      <c r="F77" t="inlineStr">
        <is>
          <t>ÖSTERGÖTLANDS LÄN</t>
        </is>
      </c>
      <c r="G77" t="inlineStr">
        <is>
          <t>VALDEMARSVIK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62220-2025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46006</v>
      </c>
      <c r="E78" s="1" t="n">
        <v>46280</v>
      </c>
      <c r="F78" t="inlineStr">
        <is>
          <t>ÖSTERGÖTLANDS LÄN</t>
        </is>
      </c>
      <c r="G78" t="inlineStr">
        <is>
          <t>VALDEMARSVIK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62228-2025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46006</v>
      </c>
      <c r="E79" s="1" t="n">
        <v>46280</v>
      </c>
      <c r="F79" t="inlineStr">
        <is>
          <t>ÖSTERGÖTLANDS LÄN</t>
        </is>
      </c>
      <c r="G79" t="inlineStr">
        <is>
          <t>VALDEMARSVIK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46006</v>
      </c>
      <c r="E80" s="1" t="n">
        <v>46280</v>
      </c>
      <c r="F80" t="inlineStr">
        <is>
          <t>ÖSTERGÖTLANDS LÄN</t>
        </is>
      </c>
      <c r="G80" t="inlineStr">
        <is>
          <t>VALDEMARSVIK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2336-2024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45310</v>
      </c>
      <c r="E81" s="1" t="n">
        <v>46280</v>
      </c>
      <c r="F81" t="inlineStr">
        <is>
          <t>ÖSTERGÖTLANDS LÄN</t>
        </is>
      </c>
      <c r="G81" t="inlineStr">
        <is>
          <t>VALDEMARSVIK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41881-2023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45176</v>
      </c>
      <c r="E82" s="1" t="n">
        <v>46280</v>
      </c>
      <c r="F82" t="inlineStr">
        <is>
          <t>ÖSTERGÖTLANDS LÄN</t>
        </is>
      </c>
      <c r="G82" t="inlineStr">
        <is>
          <t>VALDEMARSVIK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3280-2023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44949</v>
      </c>
      <c r="E83" s="1" t="n">
        <v>46280</v>
      </c>
      <c r="F83" t="inlineStr">
        <is>
          <t>ÖSTERGÖTLANDS LÄN</t>
        </is>
      </c>
      <c r="G83" t="inlineStr">
        <is>
          <t>VALDEMARSVIK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49303-2021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44454</v>
      </c>
      <c r="E84" s="1" t="n">
        <v>46280</v>
      </c>
      <c r="F84" t="inlineStr">
        <is>
          <t>ÖSTERGÖTLANDS LÄN</t>
        </is>
      </c>
      <c r="G84" t="inlineStr">
        <is>
          <t>VALDEMARSVIK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63826-2025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46020</v>
      </c>
      <c r="E85" s="1" t="n">
        <v>46280</v>
      </c>
      <c r="F85" t="inlineStr">
        <is>
          <t>ÖSTERGÖTLANDS LÄN</t>
        </is>
      </c>
      <c r="G85" t="inlineStr">
        <is>
          <t>VALDEMARSVIK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63954-2025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46020</v>
      </c>
      <c r="E86" s="1" t="n">
        <v>46280</v>
      </c>
      <c r="F86" t="inlineStr">
        <is>
          <t>ÖSTERGÖTLANDS LÄN</t>
        </is>
      </c>
      <c r="G86" t="inlineStr">
        <is>
          <t>VALDEMARSVIK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63779-2025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46019</v>
      </c>
      <c r="E87" s="1" t="n">
        <v>46280</v>
      </c>
      <c r="F87" t="inlineStr">
        <is>
          <t>ÖSTERGÖTLANDS LÄN</t>
        </is>
      </c>
      <c r="G87" t="inlineStr">
        <is>
          <t>VALDEMARSVIK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6022-2024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45336</v>
      </c>
      <c r="E88" s="1" t="n">
        <v>46280</v>
      </c>
      <c r="F88" t="inlineStr">
        <is>
          <t>ÖSTERGÖTLANDS LÄN</t>
        </is>
      </c>
      <c r="G88" t="inlineStr">
        <is>
          <t>VALDEMARSVIK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63957-2025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46020</v>
      </c>
      <c r="E89" s="1" t="n">
        <v>46280</v>
      </c>
      <c r="F89" t="inlineStr">
        <is>
          <t>ÖSTERGÖTLANDS LÄN</t>
        </is>
      </c>
      <c r="G89" t="inlineStr">
        <is>
          <t>VALDEMARSVIK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46027</v>
      </c>
      <c r="E90" s="1" t="n">
        <v>46280</v>
      </c>
      <c r="F90" t="inlineStr">
        <is>
          <t>ÖSTERGÖTLANDS LÄN</t>
        </is>
      </c>
      <c r="G90" t="inlineStr">
        <is>
          <t>VALDEMARSVIK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46027</v>
      </c>
      <c r="E91" s="1" t="n">
        <v>46280</v>
      </c>
      <c r="F91" t="inlineStr">
        <is>
          <t>ÖSTERGÖTLANDS LÄN</t>
        </is>
      </c>
      <c r="G91" t="inlineStr">
        <is>
          <t>VALDEMARSVIK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46027</v>
      </c>
      <c r="E92" s="1" t="n">
        <v>46280</v>
      </c>
      <c r="F92" t="inlineStr">
        <is>
          <t>ÖSTERGÖTLANDS LÄN</t>
        </is>
      </c>
      <c r="G92" t="inlineStr">
        <is>
          <t>VALDEMARSVIK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46029</v>
      </c>
      <c r="E93" s="1" t="n">
        <v>46280</v>
      </c>
      <c r="F93" t="inlineStr">
        <is>
          <t>ÖSTERGÖTLANDS LÄN</t>
        </is>
      </c>
      <c r="G93" t="inlineStr">
        <is>
          <t>VALDEMARSVIK</t>
        </is>
      </c>
      <c r="H93" t="inlineStr">
        <is>
          <t>Holmen skog AB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46280</v>
      </c>
      <c r="F94" t="inlineStr">
        <is>
          <t>ÖSTERGÖTLANDS LÄN</t>
        </is>
      </c>
      <c r="G94" t="inlineStr">
        <is>
          <t>VALDEMARSVIK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46027</v>
      </c>
      <c r="E95" s="1" t="n">
        <v>46280</v>
      </c>
      <c r="F95" t="inlineStr">
        <is>
          <t>ÖSTERGÖTLANDS LÄN</t>
        </is>
      </c>
      <c r="G95" t="inlineStr">
        <is>
          <t>VALDEMARSVIK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47205-2023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45202</v>
      </c>
      <c r="E96" s="1" t="n">
        <v>46280</v>
      </c>
      <c r="F96" t="inlineStr">
        <is>
          <t>ÖSTERGÖTLANDS LÄN</t>
        </is>
      </c>
      <c r="G96" t="inlineStr">
        <is>
          <t>VALDEMARSVIK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41536-2025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45901</v>
      </c>
      <c r="E97" s="1" t="n">
        <v>46280</v>
      </c>
      <c r="F97" t="inlineStr">
        <is>
          <t>ÖSTERGÖTLANDS LÄN</t>
        </is>
      </c>
      <c r="G97" t="inlineStr">
        <is>
          <t>VALDEMARSVIK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43225-2022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44833</v>
      </c>
      <c r="E98" s="1" t="n">
        <v>46280</v>
      </c>
      <c r="F98" t="inlineStr">
        <is>
          <t>ÖSTERGÖTLANDS LÄN</t>
        </is>
      </c>
      <c r="G98" t="inlineStr">
        <is>
          <t>VALDEMARSVIK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41839-2025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45902</v>
      </c>
      <c r="E99" s="1" t="n">
        <v>46280</v>
      </c>
      <c r="F99" t="inlineStr">
        <is>
          <t>ÖSTERGÖTLANDS LÄN</t>
        </is>
      </c>
      <c r="G99" t="inlineStr">
        <is>
          <t>VALDEMARSVIK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41843-2025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45902</v>
      </c>
      <c r="E100" s="1" t="n">
        <v>46280</v>
      </c>
      <c r="F100" t="inlineStr">
        <is>
          <t>ÖSTERGÖTLANDS LÄN</t>
        </is>
      </c>
      <c r="G100" t="inlineStr">
        <is>
          <t>VALDEMARSVIK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47959-2023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45204</v>
      </c>
      <c r="E101" s="1" t="n">
        <v>46280</v>
      </c>
      <c r="F101" t="inlineStr">
        <is>
          <t>ÖSTERGÖTLANDS LÄN</t>
        </is>
      </c>
      <c r="G101" t="inlineStr">
        <is>
          <t>VALDEMARSVIK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45183</v>
      </c>
      <c r="E102" s="1" t="n">
        <v>46280</v>
      </c>
      <c r="F102" t="inlineStr">
        <is>
          <t>ÖSTERGÖTLANDS LÄN</t>
        </is>
      </c>
      <c r="G102" t="inlineStr">
        <is>
          <t>VALDEMARSVIK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44565-2023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45183</v>
      </c>
      <c r="E103" s="1" t="n">
        <v>46280</v>
      </c>
      <c r="F103" t="inlineStr">
        <is>
          <t>ÖSTERGÖTLANDS LÄN</t>
        </is>
      </c>
      <c r="G103" t="inlineStr">
        <is>
          <t>VALDEMARSVIK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62914-2023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45271</v>
      </c>
      <c r="E104" s="1" t="n">
        <v>46280</v>
      </c>
      <c r="F104" t="inlineStr">
        <is>
          <t>ÖSTERGÖTLANDS LÄN</t>
        </is>
      </c>
      <c r="G104" t="inlineStr">
        <is>
          <t>VALDEMARSVIK</t>
        </is>
      </c>
      <c r="H104" t="inlineStr">
        <is>
          <t>Övriga Aktiebolag</t>
        </is>
      </c>
      <c r="I104" t="n">
        <v>11.1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44592</v>
      </c>
      <c r="E105" s="1" t="n">
        <v>46280</v>
      </c>
      <c r="F105" t="inlineStr">
        <is>
          <t>ÖSTERGÖTLANDS LÄN</t>
        </is>
      </c>
      <c r="G105" t="inlineStr">
        <is>
          <t>VALDEMARSVIK</t>
        </is>
      </c>
      <c r="I105" t="n">
        <v>11.6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46055</v>
      </c>
      <c r="E106" s="1" t="n">
        <v>46280</v>
      </c>
      <c r="F106" t="inlineStr">
        <is>
          <t>ÖSTERGÖTLANDS LÄN</t>
        </is>
      </c>
      <c r="G106" t="inlineStr">
        <is>
          <t>VALDEMARSVIK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6162-2026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46055</v>
      </c>
      <c r="E107" s="1" t="n">
        <v>46280</v>
      </c>
      <c r="F107" t="inlineStr">
        <is>
          <t>ÖSTERGÖTLANDS LÄN</t>
        </is>
      </c>
      <c r="G107" t="inlineStr">
        <is>
          <t>VALDEMARSVIK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6161-2026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46055</v>
      </c>
      <c r="E108" s="1" t="n">
        <v>46280</v>
      </c>
      <c r="F108" t="inlineStr">
        <is>
          <t>ÖSTERGÖTLANDS LÄN</t>
        </is>
      </c>
      <c r="G108" t="inlineStr">
        <is>
          <t>VALDEMARSVIK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26939-2023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45093</v>
      </c>
      <c r="E109" s="1" t="n">
        <v>46280</v>
      </c>
      <c r="F109" t="inlineStr">
        <is>
          <t>ÖSTERGÖTLANDS LÄN</t>
        </is>
      </c>
      <c r="G109" t="inlineStr">
        <is>
          <t>VALDEMARSVIK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46774-2025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45926</v>
      </c>
      <c r="E110" s="1" t="n">
        <v>46280</v>
      </c>
      <c r="F110" t="inlineStr">
        <is>
          <t>ÖSTERGÖTLANDS LÄN</t>
        </is>
      </c>
      <c r="G110" t="inlineStr">
        <is>
          <t>VALDEMARSVIK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45926</v>
      </c>
      <c r="E111" s="1" t="n">
        <v>46280</v>
      </c>
      <c r="F111" t="inlineStr">
        <is>
          <t>ÖSTERGÖTLANDS LÄN</t>
        </is>
      </c>
      <c r="G111" t="inlineStr">
        <is>
          <t>VALDEMARSVIK</t>
        </is>
      </c>
      <c r="I111" t="n">
        <v>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46951-2025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45929</v>
      </c>
      <c r="E112" s="1" t="n">
        <v>46280</v>
      </c>
      <c r="F112" t="inlineStr">
        <is>
          <t>ÖSTERGÖTLANDS LÄN</t>
        </is>
      </c>
      <c r="G112" t="inlineStr">
        <is>
          <t>VALDEMARSVIK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46948-2025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45929</v>
      </c>
      <c r="E113" s="1" t="n">
        <v>46280</v>
      </c>
      <c r="F113" t="inlineStr">
        <is>
          <t>ÖSTERGÖTLANDS LÄN</t>
        </is>
      </c>
      <c r="G113" t="inlineStr">
        <is>
          <t>VALDEMARSVIK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46280</v>
      </c>
      <c r="F114" t="inlineStr">
        <is>
          <t>ÖSTERGÖTLANDS LÄN</t>
        </is>
      </c>
      <c r="G114" t="inlineStr">
        <is>
          <t>VALDEMARSVIK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46763-2025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46280</v>
      </c>
      <c r="F115" t="inlineStr">
        <is>
          <t>ÖSTERGÖTLANDS LÄN</t>
        </is>
      </c>
      <c r="G115" t="inlineStr">
        <is>
          <t>VALDEMARSVIK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59399-2021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44491</v>
      </c>
      <c r="E116" s="1" t="n">
        <v>46280</v>
      </c>
      <c r="F116" t="inlineStr">
        <is>
          <t>ÖSTERGÖTLANDS LÄN</t>
        </is>
      </c>
      <c r="G116" t="inlineStr">
        <is>
          <t>VALDEMARSVIK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8845-2026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46066</v>
      </c>
      <c r="E117" s="1" t="n">
        <v>46280</v>
      </c>
      <c r="F117" t="inlineStr">
        <is>
          <t>ÖSTERGÖTLANDS LÄN</t>
        </is>
      </c>
      <c r="G117" t="inlineStr">
        <is>
          <t>VALDEMARSVIK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8818-2026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46066</v>
      </c>
      <c r="E118" s="1" t="n">
        <v>46280</v>
      </c>
      <c r="F118" t="inlineStr">
        <is>
          <t>ÖSTERGÖTLANDS LÄN</t>
        </is>
      </c>
      <c r="G118" t="inlineStr">
        <is>
          <t>VALDEMARSVIK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37524-2023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45158</v>
      </c>
      <c r="E119" s="1" t="n">
        <v>46280</v>
      </c>
      <c r="F119" t="inlineStr">
        <is>
          <t>ÖSTERGÖTLANDS LÄN</t>
        </is>
      </c>
      <c r="G119" t="inlineStr">
        <is>
          <t>VALDEMARSVIK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8823-2026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46066</v>
      </c>
      <c r="E120" s="1" t="n">
        <v>46280</v>
      </c>
      <c r="F120" t="inlineStr">
        <is>
          <t>ÖSTERGÖTLANDS LÄN</t>
        </is>
      </c>
      <c r="G120" t="inlineStr">
        <is>
          <t>VALDEMARSVIK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8822-2026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46066</v>
      </c>
      <c r="E121" s="1" t="n">
        <v>46280</v>
      </c>
      <c r="F121" t="inlineStr">
        <is>
          <t>ÖSTERGÖTLANDS LÄN</t>
        </is>
      </c>
      <c r="G121" t="inlineStr">
        <is>
          <t>VALDEMARSVIK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4946-2022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44593</v>
      </c>
      <c r="E122" s="1" t="n">
        <v>46280</v>
      </c>
      <c r="F122" t="inlineStr">
        <is>
          <t>ÖSTERGÖTLANDS LÄN</t>
        </is>
      </c>
      <c r="G122" t="inlineStr">
        <is>
          <t>VALDEMARSVIK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49302-2021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44454</v>
      </c>
      <c r="E123" s="1" t="n">
        <v>46280</v>
      </c>
      <c r="F123" t="inlineStr">
        <is>
          <t>ÖSTERGÖTLANDS LÄN</t>
        </is>
      </c>
      <c r="G123" t="inlineStr">
        <is>
          <t>VALDEMARSVIK</t>
        </is>
      </c>
      <c r="I123" t="n">
        <v>14.6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22974-2025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45790</v>
      </c>
      <c r="E124" s="1" t="n">
        <v>46280</v>
      </c>
      <c r="F124" t="inlineStr">
        <is>
          <t>ÖSTERGÖTLANDS LÄN</t>
        </is>
      </c>
      <c r="G124" t="inlineStr">
        <is>
          <t>VALDEMARSVIK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45699</v>
      </c>
      <c r="E125" s="1" t="n">
        <v>46280</v>
      </c>
      <c r="F125" t="inlineStr">
        <is>
          <t>ÖSTERGÖTLANDS LÄN</t>
        </is>
      </c>
      <c r="G125" t="inlineStr">
        <is>
          <t>VALDEMARSVIK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10575-2026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46077</v>
      </c>
      <c r="E126" s="1" t="n">
        <v>46280</v>
      </c>
      <c r="F126" t="inlineStr">
        <is>
          <t>ÖSTERGÖTLANDS LÄN</t>
        </is>
      </c>
      <c r="G126" t="inlineStr">
        <is>
          <t>VALDEMARSVIK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8143-2023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44974</v>
      </c>
      <c r="E127" s="1" t="n">
        <v>46280</v>
      </c>
      <c r="F127" t="inlineStr">
        <is>
          <t>ÖSTERGÖTLANDS LÄN</t>
        </is>
      </c>
      <c r="G127" t="inlineStr">
        <is>
          <t>VALDEMARSVIK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17590-2023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45036</v>
      </c>
      <c r="E128" s="1" t="n">
        <v>46280</v>
      </c>
      <c r="F128" t="inlineStr">
        <is>
          <t>ÖSTERGÖTLANDS LÄN</t>
        </is>
      </c>
      <c r="G128" t="inlineStr">
        <is>
          <t>VALDEMARSVIK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35659-2022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44799</v>
      </c>
      <c r="E129" s="1" t="n">
        <v>46280</v>
      </c>
      <c r="F129" t="inlineStr">
        <is>
          <t>ÖSTERGÖTLANDS LÄN</t>
        </is>
      </c>
      <c r="G129" t="inlineStr">
        <is>
          <t>VALDEMARSVIK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58262-2022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44894</v>
      </c>
      <c r="E130" s="1" t="n">
        <v>46280</v>
      </c>
      <c r="F130" t="inlineStr">
        <is>
          <t>ÖSTERGÖTLANDS LÄN</t>
        </is>
      </c>
      <c r="G130" t="inlineStr">
        <is>
          <t>VALDEMARSVIK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4027-2022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44587</v>
      </c>
      <c r="E131" s="1" t="n">
        <v>46280</v>
      </c>
      <c r="F131" t="inlineStr">
        <is>
          <t>ÖSTERGÖTLANDS LÄN</t>
        </is>
      </c>
      <c r="G131" t="inlineStr">
        <is>
          <t>VALDEMARSVIK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28997-2022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44749</v>
      </c>
      <c r="E132" s="1" t="n">
        <v>46280</v>
      </c>
      <c r="F132" t="inlineStr">
        <is>
          <t>ÖSTERGÖTLANDS LÄN</t>
        </is>
      </c>
      <c r="G132" t="inlineStr">
        <is>
          <t>VALDEMARSVIK</t>
        </is>
      </c>
      <c r="I132" t="n">
        <v>6.6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15648-2024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45404</v>
      </c>
      <c r="E133" s="1" t="n">
        <v>46280</v>
      </c>
      <c r="F133" t="inlineStr">
        <is>
          <t>ÖSTERGÖTLANDS LÄN</t>
        </is>
      </c>
      <c r="G133" t="inlineStr">
        <is>
          <t>VALDEMARSVIK</t>
        </is>
      </c>
      <c r="I133" t="n">
        <v>6.2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56303-2024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45624</v>
      </c>
      <c r="E134" s="1" t="n">
        <v>46280</v>
      </c>
      <c r="F134" t="inlineStr">
        <is>
          <t>ÖSTERGÖTLANDS LÄN</t>
        </is>
      </c>
      <c r="G134" t="inlineStr">
        <is>
          <t>VALDEMARSVIK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15078-2026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46105</v>
      </c>
      <c r="E135" s="1" t="n">
        <v>46280</v>
      </c>
      <c r="F135" t="inlineStr">
        <is>
          <t>ÖSTERGÖTLANDS LÄN</t>
        </is>
      </c>
      <c r="G135" t="inlineStr">
        <is>
          <t>VALDEMARSVIK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3267-2023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44949</v>
      </c>
      <c r="E136" s="1" t="n">
        <v>46280</v>
      </c>
      <c r="F136" t="inlineStr">
        <is>
          <t>ÖSTERGÖTLANDS LÄN</t>
        </is>
      </c>
      <c r="G136" t="inlineStr">
        <is>
          <t>VALDEMARSVIK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46105</v>
      </c>
      <c r="E137" s="1" t="n">
        <v>46280</v>
      </c>
      <c r="F137" t="inlineStr">
        <is>
          <t>ÖSTERGÖTLANDS LÄN</t>
        </is>
      </c>
      <c r="G137" t="inlineStr">
        <is>
          <t>VALDEMARSVIK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15096-2026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46105</v>
      </c>
      <c r="E138" s="1" t="n">
        <v>46280</v>
      </c>
      <c r="F138" t="inlineStr">
        <is>
          <t>ÖSTERGÖTLANDS LÄN</t>
        </is>
      </c>
      <c r="G138" t="inlineStr">
        <is>
          <t>VALDEMARSVIK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45601</v>
      </c>
      <c r="E139" s="1" t="n">
        <v>46280</v>
      </c>
      <c r="F139" t="inlineStr">
        <is>
          <t>ÖSTERGÖTLANDS LÄN</t>
        </is>
      </c>
      <c r="G139" t="inlineStr">
        <is>
          <t>VALDEMARSVIK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8890-2024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45357</v>
      </c>
      <c r="E140" s="1" t="n">
        <v>46280</v>
      </c>
      <c r="F140" t="inlineStr">
        <is>
          <t>ÖSTERGÖTLANDS LÄN</t>
        </is>
      </c>
      <c r="G140" t="inlineStr">
        <is>
          <t>VALDEMARSVIK</t>
        </is>
      </c>
      <c r="I140" t="n">
        <v>7.4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17296-2023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45035</v>
      </c>
      <c r="E141" s="1" t="n">
        <v>46280</v>
      </c>
      <c r="F141" t="inlineStr">
        <is>
          <t>ÖSTERGÖTLANDS LÄN</t>
        </is>
      </c>
      <c r="G141" t="inlineStr">
        <is>
          <t>VALDEMARSVIK</t>
        </is>
      </c>
      <c r="H141" t="inlineStr">
        <is>
          <t>Holmen skog AB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1620-2023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44937</v>
      </c>
      <c r="E142" s="1" t="n">
        <v>46280</v>
      </c>
      <c r="F142" t="inlineStr">
        <is>
          <t>ÖSTERGÖTLANDS LÄN</t>
        </is>
      </c>
      <c r="G142" t="inlineStr">
        <is>
          <t>VALDEMARSVIK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1621-2023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44937</v>
      </c>
      <c r="E143" s="1" t="n">
        <v>46280</v>
      </c>
      <c r="F143" t="inlineStr">
        <is>
          <t>ÖSTERGÖTLANDS LÄN</t>
        </is>
      </c>
      <c r="G143" t="inlineStr">
        <is>
          <t>VALDEMARSVIK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60285-2023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45258</v>
      </c>
      <c r="E144" s="1" t="n">
        <v>46280</v>
      </c>
      <c r="F144" t="inlineStr">
        <is>
          <t>ÖSTERGÖTLANDS LÄN</t>
        </is>
      </c>
      <c r="G144" t="inlineStr">
        <is>
          <t>VALDEMARSVIK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46280</v>
      </c>
      <c r="F145" t="inlineStr">
        <is>
          <t>ÖSTERGÖTLANDS LÄN</t>
        </is>
      </c>
      <c r="G145" t="inlineStr">
        <is>
          <t>VALDEMARSVIK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6357-2023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44965</v>
      </c>
      <c r="E146" s="1" t="n">
        <v>46280</v>
      </c>
      <c r="F146" t="inlineStr">
        <is>
          <t>ÖSTERGÖTLANDS LÄN</t>
        </is>
      </c>
      <c r="G146" t="inlineStr">
        <is>
          <t>VALDEMARSVIK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19925-2024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45433</v>
      </c>
      <c r="E147" s="1" t="n">
        <v>46280</v>
      </c>
      <c r="F147" t="inlineStr">
        <is>
          <t>ÖSTERGÖTLANDS LÄN</t>
        </is>
      </c>
      <c r="G147" t="inlineStr">
        <is>
          <t>VALDEMARSVIK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21396-2025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45782</v>
      </c>
      <c r="E148" s="1" t="n">
        <v>46280</v>
      </c>
      <c r="F148" t="inlineStr">
        <is>
          <t>ÖSTERGÖTLANDS LÄN</t>
        </is>
      </c>
      <c r="G148" t="inlineStr">
        <is>
          <t>VALDEMARSVIK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23672-2025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45793</v>
      </c>
      <c r="E149" s="1" t="n">
        <v>46280</v>
      </c>
      <c r="F149" t="inlineStr">
        <is>
          <t>ÖSTERGÖTLANDS LÄN</t>
        </is>
      </c>
      <c r="G149" t="inlineStr">
        <is>
          <t>VALDEMARSVIK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54765-2022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44883</v>
      </c>
      <c r="E150" s="1" t="n">
        <v>46280</v>
      </c>
      <c r="F150" t="inlineStr">
        <is>
          <t>ÖSTERGÖTLANDS LÄN</t>
        </is>
      </c>
      <c r="G150" t="inlineStr">
        <is>
          <t>VALDEMARSVIK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58740-2025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45986</v>
      </c>
      <c r="E151" s="1" t="n">
        <v>46280</v>
      </c>
      <c r="F151" t="inlineStr">
        <is>
          <t>ÖSTERGÖTLANDS LÄN</t>
        </is>
      </c>
      <c r="G151" t="inlineStr">
        <is>
          <t>VALDEMARSVIK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58749-2025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45986</v>
      </c>
      <c r="E152" s="1" t="n">
        <v>46280</v>
      </c>
      <c r="F152" t="inlineStr">
        <is>
          <t>ÖSTERGÖTLANDS LÄN</t>
        </is>
      </c>
      <c r="G152" t="inlineStr">
        <is>
          <t>VALDEMARSVIK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41889-2023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45176</v>
      </c>
      <c r="E153" s="1" t="n">
        <v>46280</v>
      </c>
      <c r="F153" t="inlineStr">
        <is>
          <t>ÖSTERGÖTLANDS LÄN</t>
        </is>
      </c>
      <c r="G153" t="inlineStr">
        <is>
          <t>VALDEMARSVIK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59479-2025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45989</v>
      </c>
      <c r="E154" s="1" t="n">
        <v>46280</v>
      </c>
      <c r="F154" t="inlineStr">
        <is>
          <t>ÖSTERGÖTLANDS LÄN</t>
        </is>
      </c>
      <c r="G154" t="inlineStr">
        <is>
          <t>VALDEMARSVIK</t>
        </is>
      </c>
      <c r="H154" t="inlineStr">
        <is>
          <t>Holmen skog AB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59838-2025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45992</v>
      </c>
      <c r="E155" s="1" t="n">
        <v>46280</v>
      </c>
      <c r="F155" t="inlineStr">
        <is>
          <t>ÖSTERGÖTLANDS LÄN</t>
        </is>
      </c>
      <c r="G155" t="inlineStr">
        <is>
          <t>VALDEMARSVIK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20246-2026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46139</v>
      </c>
      <c r="E156" s="1" t="n">
        <v>46280</v>
      </c>
      <c r="F156" t="inlineStr">
        <is>
          <t>ÖSTERGÖTLANDS LÄN</t>
        </is>
      </c>
      <c r="G156" t="inlineStr">
        <is>
          <t>VALDEMARSVIK</t>
        </is>
      </c>
      <c r="H156" t="inlineStr">
        <is>
          <t>Kommuner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20248-2026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46139</v>
      </c>
      <c r="E157" s="1" t="n">
        <v>46280</v>
      </c>
      <c r="F157" t="inlineStr">
        <is>
          <t>ÖSTERGÖTLANDS LÄN</t>
        </is>
      </c>
      <c r="G157" t="inlineStr">
        <is>
          <t>VALDEMARSVIK</t>
        </is>
      </c>
      <c r="H157" t="inlineStr">
        <is>
          <t>Kommuner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48158-2023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45205</v>
      </c>
      <c r="E158" s="1" t="n">
        <v>46280</v>
      </c>
      <c r="F158" t="inlineStr">
        <is>
          <t>ÖSTERGÖTLANDS LÄN</t>
        </is>
      </c>
      <c r="G158" t="inlineStr">
        <is>
          <t>VALDEMARSVIK</t>
        </is>
      </c>
      <c r="H158" t="inlineStr">
        <is>
          <t>Kommuner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8965-2023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44979</v>
      </c>
      <c r="E159" s="1" t="n">
        <v>46280</v>
      </c>
      <c r="F159" t="inlineStr">
        <is>
          <t>ÖSTERGÖTLANDS LÄN</t>
        </is>
      </c>
      <c r="G159" t="inlineStr">
        <is>
          <t>VALDEMARSVIK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59839-2025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45992</v>
      </c>
      <c r="E160" s="1" t="n">
        <v>46280</v>
      </c>
      <c r="F160" t="inlineStr">
        <is>
          <t>ÖSTERGÖTLANDS LÄN</t>
        </is>
      </c>
      <c r="G160" t="inlineStr">
        <is>
          <t>VALDEMARSVIK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28259-2023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45099</v>
      </c>
      <c r="E161" s="1" t="n">
        <v>46280</v>
      </c>
      <c r="F161" t="inlineStr">
        <is>
          <t>ÖSTERGÖTLANDS LÄN</t>
        </is>
      </c>
      <c r="G161" t="inlineStr">
        <is>
          <t>VALDEMARSVIK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2355-2023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44942</v>
      </c>
      <c r="E162" s="1" t="n">
        <v>46280</v>
      </c>
      <c r="F162" t="inlineStr">
        <is>
          <t>ÖSTERGÖTLANDS LÄN</t>
        </is>
      </c>
      <c r="G162" t="inlineStr">
        <is>
          <t>VALDEMARSVIK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60903-2025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45999</v>
      </c>
      <c r="E163" s="1" t="n">
        <v>46280</v>
      </c>
      <c r="F163" t="inlineStr">
        <is>
          <t>ÖSTERGÖTLANDS LÄN</t>
        </is>
      </c>
      <c r="G163" t="inlineStr">
        <is>
          <t>VALDEMARSVIK</t>
        </is>
      </c>
      <c r="H163" t="inlineStr">
        <is>
          <t>Holmen skog AB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60911-2025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45999</v>
      </c>
      <c r="E164" s="1" t="n">
        <v>46280</v>
      </c>
      <c r="F164" t="inlineStr">
        <is>
          <t>ÖSTERGÖTLANDS LÄN</t>
        </is>
      </c>
      <c r="G164" t="inlineStr">
        <is>
          <t>VALDEMARSVIK</t>
        </is>
      </c>
      <c r="H164" t="inlineStr">
        <is>
          <t>Holmen skog AB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8678-2024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45354</v>
      </c>
      <c r="E165" s="1" t="n">
        <v>46280</v>
      </c>
      <c r="F165" t="inlineStr">
        <is>
          <t>ÖSTERGÖTLANDS LÄN</t>
        </is>
      </c>
      <c r="G165" t="inlineStr">
        <is>
          <t>VALDEMARSVIK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46186-2024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45581</v>
      </c>
      <c r="E166" s="1" t="n">
        <v>46280</v>
      </c>
      <c r="F166" t="inlineStr">
        <is>
          <t>ÖSTERGÖTLANDS LÄN</t>
        </is>
      </c>
      <c r="G166" t="inlineStr">
        <is>
          <t>VALDEMARSVIK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57513-2022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44896</v>
      </c>
      <c r="E167" s="1" t="n">
        <v>46280</v>
      </c>
      <c r="F167" t="inlineStr">
        <is>
          <t>ÖSTERGÖTLANDS LÄN</t>
        </is>
      </c>
      <c r="G167" t="inlineStr">
        <is>
          <t>VALDEMARSVIK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26811-2023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45093</v>
      </c>
      <c r="E168" s="1" t="n">
        <v>46280</v>
      </c>
      <c r="F168" t="inlineStr">
        <is>
          <t>ÖSTERGÖTLANDS LÄN</t>
        </is>
      </c>
      <c r="G168" t="inlineStr">
        <is>
          <t>VALDEMARSVIK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20307-2026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46139</v>
      </c>
      <c r="E169" s="1" t="n">
        <v>46280</v>
      </c>
      <c r="F169" t="inlineStr">
        <is>
          <t>ÖSTERGÖTLANDS LÄN</t>
        </is>
      </c>
      <c r="G169" t="inlineStr">
        <is>
          <t>VALDEMARSVIK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45093</v>
      </c>
      <c r="E170" s="1" t="n">
        <v>46280</v>
      </c>
      <c r="F170" t="inlineStr">
        <is>
          <t>ÖSTERGÖTLANDS LÄN</t>
        </is>
      </c>
      <c r="G170" t="inlineStr">
        <is>
          <t>VALDEMARSVIK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3533-2022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44585</v>
      </c>
      <c r="E171" s="1" t="n">
        <v>46280</v>
      </c>
      <c r="F171" t="inlineStr">
        <is>
          <t>ÖSTERGÖTLANDS LÄN</t>
        </is>
      </c>
      <c r="G171" t="inlineStr">
        <is>
          <t>VALDEMARSVIK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58979-2022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44903</v>
      </c>
      <c r="E172" s="1" t="n">
        <v>46280</v>
      </c>
      <c r="F172" t="inlineStr">
        <is>
          <t>ÖSTERGÖTLANDS LÄN</t>
        </is>
      </c>
      <c r="G172" t="inlineStr">
        <is>
          <t>VALDEMARSVIK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9971-2023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44985</v>
      </c>
      <c r="E173" s="1" t="n">
        <v>46280</v>
      </c>
      <c r="F173" t="inlineStr">
        <is>
          <t>ÖSTERGÖTLANDS LÄN</t>
        </is>
      </c>
      <c r="G173" t="inlineStr">
        <is>
          <t>VALDEMARSVIK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29041-2024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45481</v>
      </c>
      <c r="E174" s="1" t="n">
        <v>46280</v>
      </c>
      <c r="F174" t="inlineStr">
        <is>
          <t>ÖSTERGÖTLANDS LÄN</t>
        </is>
      </c>
      <c r="G174" t="inlineStr">
        <is>
          <t>VALDEMARSVIK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20773-2026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46280</v>
      </c>
      <c r="F175" t="inlineStr">
        <is>
          <t>ÖSTERGÖTLANDS LÄN</t>
        </is>
      </c>
      <c r="G175" t="inlineStr">
        <is>
          <t>VALDEMARSVIK</t>
        </is>
      </c>
      <c r="H175" t="inlineStr">
        <is>
          <t>Övriga Aktiebolag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21511-2025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45782</v>
      </c>
      <c r="E176" s="1" t="n">
        <v>46280</v>
      </c>
      <c r="F176" t="inlineStr">
        <is>
          <t>ÖSTERGÖTLANDS LÄN</t>
        </is>
      </c>
      <c r="G176" t="inlineStr">
        <is>
          <t>VALDEMARSVIK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53111-2023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45228</v>
      </c>
      <c r="E177" s="1" t="n">
        <v>46280</v>
      </c>
      <c r="F177" t="inlineStr">
        <is>
          <t>ÖSTERGÖTLANDS LÄN</t>
        </is>
      </c>
      <c r="G177" t="inlineStr">
        <is>
          <t>VALDEMARSVIK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39517-2023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45167</v>
      </c>
      <c r="E178" s="1" t="n">
        <v>46280</v>
      </c>
      <c r="F178" t="inlineStr">
        <is>
          <t>ÖSTERGÖTLANDS LÄN</t>
        </is>
      </c>
      <c r="G178" t="inlineStr">
        <is>
          <t>VALDEMARSVIK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44897</v>
      </c>
      <c r="E179" s="1" t="n">
        <v>46280</v>
      </c>
      <c r="F179" t="inlineStr">
        <is>
          <t>ÖSTERGÖTLANDS LÄN</t>
        </is>
      </c>
      <c r="G179" t="inlineStr">
        <is>
          <t>VALDEMARSVIK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53786-2021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46280</v>
      </c>
      <c r="F180" t="inlineStr">
        <is>
          <t>ÖSTERGÖTLANDS LÄN</t>
        </is>
      </c>
      <c r="G180" t="inlineStr">
        <is>
          <t>VALDEMARSVIK</t>
        </is>
      </c>
      <c r="H180" t="inlineStr">
        <is>
          <t>Övriga Aktiebolag</t>
        </is>
      </c>
      <c r="I180" t="n">
        <v>4.9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40728-2023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45170</v>
      </c>
      <c r="E181" s="1" t="n">
        <v>46280</v>
      </c>
      <c r="F181" t="inlineStr">
        <is>
          <t>ÖSTERGÖTLANDS LÄN</t>
        </is>
      </c>
      <c r="G181" t="inlineStr">
        <is>
          <t>VALDEMARSVIK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21370-2026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46147</v>
      </c>
      <c r="E182" s="1" t="n">
        <v>46280</v>
      </c>
      <c r="F182" t="inlineStr">
        <is>
          <t>ÖSTERGÖTLANDS LÄN</t>
        </is>
      </c>
      <c r="G182" t="inlineStr">
        <is>
          <t>VALDEMARSVIK</t>
        </is>
      </c>
      <c r="H182" t="inlineStr">
        <is>
          <t>Holmen skog AB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18200-2025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45761</v>
      </c>
      <c r="E183" s="1" t="n">
        <v>46280</v>
      </c>
      <c r="F183" t="inlineStr">
        <is>
          <t>ÖSTERGÖTLANDS LÄN</t>
        </is>
      </c>
      <c r="G183" t="inlineStr">
        <is>
          <t>VALDEMARSVIK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16771-2024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45411</v>
      </c>
      <c r="E184" s="1" t="n">
        <v>46280</v>
      </c>
      <c r="F184" t="inlineStr">
        <is>
          <t>ÖSTERGÖTLANDS LÄN</t>
        </is>
      </c>
      <c r="G184" t="inlineStr">
        <is>
          <t>VALDEMARSVIK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45685</v>
      </c>
      <c r="E185" s="1" t="n">
        <v>46280</v>
      </c>
      <c r="F185" t="inlineStr">
        <is>
          <t>ÖSTERGÖTLANDS LÄN</t>
        </is>
      </c>
      <c r="G185" t="inlineStr">
        <is>
          <t>VALDEMARSVIK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45685</v>
      </c>
      <c r="E186" s="1" t="n">
        <v>46280</v>
      </c>
      <c r="F186" t="inlineStr">
        <is>
          <t>ÖSTERGÖTLANDS LÄN</t>
        </is>
      </c>
      <c r="G186" t="inlineStr">
        <is>
          <t>VALDEMARSVIK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58247-2024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45632</v>
      </c>
      <c r="E187" s="1" t="n">
        <v>46280</v>
      </c>
      <c r="F187" t="inlineStr">
        <is>
          <t>ÖSTERGÖTLANDS LÄN</t>
        </is>
      </c>
      <c r="G187" t="inlineStr">
        <is>
          <t>VALDEMARSVIK</t>
        </is>
      </c>
      <c r="I187" t="n">
        <v>8.4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47219-2022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44852</v>
      </c>
      <c r="E188" s="1" t="n">
        <v>46280</v>
      </c>
      <c r="F188" t="inlineStr">
        <is>
          <t>ÖSTERGÖTLANDS LÄN</t>
        </is>
      </c>
      <c r="G188" t="inlineStr">
        <is>
          <t>VALDEMARSVIK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22296-2026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46154</v>
      </c>
      <c r="E189" s="1" t="n">
        <v>46280</v>
      </c>
      <c r="F189" t="inlineStr">
        <is>
          <t>ÖSTERGÖTLANDS LÄN</t>
        </is>
      </c>
      <c r="G189" t="inlineStr">
        <is>
          <t>VALDEMARSVIK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50148-2023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45215</v>
      </c>
      <c r="E190" s="1" t="n">
        <v>46280</v>
      </c>
      <c r="F190" t="inlineStr">
        <is>
          <t>ÖSTERGÖTLANDS LÄN</t>
        </is>
      </c>
      <c r="G190" t="inlineStr">
        <is>
          <t>VALDEMARSVIK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22292-2026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46154</v>
      </c>
      <c r="E191" s="1" t="n">
        <v>46280</v>
      </c>
      <c r="F191" t="inlineStr">
        <is>
          <t>ÖSTERGÖTLANDS LÄN</t>
        </is>
      </c>
      <c r="G191" t="inlineStr">
        <is>
          <t>VALDEMARSVIK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22297-2026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46154</v>
      </c>
      <c r="E192" s="1" t="n">
        <v>46280</v>
      </c>
      <c r="F192" t="inlineStr">
        <is>
          <t>ÖSTERGÖTLANDS LÄN</t>
        </is>
      </c>
      <c r="G192" t="inlineStr">
        <is>
          <t>VALDEMARSVIK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22468-2026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46155</v>
      </c>
      <c r="E193" s="1" t="n">
        <v>46280</v>
      </c>
      <c r="F193" t="inlineStr">
        <is>
          <t>ÖSTERGÖTLANDS LÄN</t>
        </is>
      </c>
      <c r="G193" t="inlineStr">
        <is>
          <t>VALDEMARSVIK</t>
        </is>
      </c>
      <c r="H193" t="inlineStr">
        <is>
          <t>Holmen skog AB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8328-2024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45352</v>
      </c>
      <c r="E194" s="1" t="n">
        <v>46280</v>
      </c>
      <c r="F194" t="inlineStr">
        <is>
          <t>ÖSTERGÖTLANDS LÄN</t>
        </is>
      </c>
      <c r="G194" t="inlineStr">
        <is>
          <t>VALDEMARSVIK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24532-2026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46170</v>
      </c>
      <c r="E195" s="1" t="n">
        <v>46280</v>
      </c>
      <c r="F195" t="inlineStr">
        <is>
          <t>ÖSTERGÖTLANDS LÄN</t>
        </is>
      </c>
      <c r="G195" t="inlineStr">
        <is>
          <t>VALDEMARSVIK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26049-2026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46177</v>
      </c>
      <c r="E196" s="1" t="n">
        <v>46280</v>
      </c>
      <c r="F196" t="inlineStr">
        <is>
          <t>ÖSTERGÖTLANDS LÄN</t>
        </is>
      </c>
      <c r="G196" t="inlineStr">
        <is>
          <t>VALDEMARSVIK</t>
        </is>
      </c>
      <c r="H196" t="inlineStr">
        <is>
          <t>Övriga Aktiebolag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60288-2023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45258</v>
      </c>
      <c r="E197" s="1" t="n">
        <v>46280</v>
      </c>
      <c r="F197" t="inlineStr">
        <is>
          <t>ÖSTERGÖTLANDS LÄN</t>
        </is>
      </c>
      <c r="G197" t="inlineStr">
        <is>
          <t>VALDEMARSVIK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4965-2026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46049</v>
      </c>
      <c r="E198" s="1" t="n">
        <v>46280</v>
      </c>
      <c r="F198" t="inlineStr">
        <is>
          <t>ÖSTERGÖTLANDS LÄN</t>
        </is>
      </c>
      <c r="G198" t="inlineStr">
        <is>
          <t>VALDEMARSVIK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27525-2026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46189</v>
      </c>
      <c r="E199" s="1" t="n">
        <v>46280</v>
      </c>
      <c r="F199" t="inlineStr">
        <is>
          <t>ÖSTERGÖTLANDS LÄN</t>
        </is>
      </c>
      <c r="G199" t="inlineStr">
        <is>
          <t>VALDEMARSVIK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28119-2026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46280</v>
      </c>
      <c r="F200" t="inlineStr">
        <is>
          <t>ÖSTERGÖTLANDS LÄN</t>
        </is>
      </c>
      <c r="G200" t="inlineStr">
        <is>
          <t>VALDEMARSVIK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28093-2026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46195</v>
      </c>
      <c r="E201" s="1" t="n">
        <v>46280</v>
      </c>
      <c r="F201" t="inlineStr">
        <is>
          <t>ÖSTERGÖTLANDS LÄN</t>
        </is>
      </c>
      <c r="G201" t="inlineStr">
        <is>
          <t>VALDEMARSVIK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9292-2023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44980</v>
      </c>
      <c r="E202" s="1" t="n">
        <v>46280</v>
      </c>
      <c r="F202" t="inlineStr">
        <is>
          <t>ÖSTERGÖTLANDS LÄN</t>
        </is>
      </c>
      <c r="G202" t="inlineStr">
        <is>
          <t>VALDEMARSVIK</t>
        </is>
      </c>
      <c r="I202" t="n">
        <v>6.4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3894-2022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44587</v>
      </c>
      <c r="E203" s="1" t="n">
        <v>46280</v>
      </c>
      <c r="F203" t="inlineStr">
        <is>
          <t>ÖSTERGÖTLANDS LÄN</t>
        </is>
      </c>
      <c r="G203" t="inlineStr">
        <is>
          <t>VALDEMARSVIK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24234-2022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44725</v>
      </c>
      <c r="E204" s="1" t="n">
        <v>46280</v>
      </c>
      <c r="F204" t="inlineStr">
        <is>
          <t>ÖSTERGÖTLANDS LÄN</t>
        </is>
      </c>
      <c r="G204" t="inlineStr">
        <is>
          <t>VALDEMARSVIK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33076-2026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46245</v>
      </c>
      <c r="E205" s="1" t="n">
        <v>46280</v>
      </c>
      <c r="F205" t="inlineStr">
        <is>
          <t>ÖSTERGÖTLANDS LÄN</t>
        </is>
      </c>
      <c r="G205" t="inlineStr">
        <is>
          <t>VALDEMARSVIK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33090-2026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46245</v>
      </c>
      <c r="E206" s="1" t="n">
        <v>46280</v>
      </c>
      <c r="F206" t="inlineStr">
        <is>
          <t>ÖSTERGÖTLANDS LÄN</t>
        </is>
      </c>
      <c r="G206" t="inlineStr">
        <is>
          <t>VALDEMARSVIK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33177-2026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46245</v>
      </c>
      <c r="E207" s="1" t="n">
        <v>46280</v>
      </c>
      <c r="F207" t="inlineStr">
        <is>
          <t>ÖSTERGÖTLANDS LÄN</t>
        </is>
      </c>
      <c r="G207" t="inlineStr">
        <is>
          <t>VALDEMARSVIK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30523-2026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46210</v>
      </c>
      <c r="E208" s="1" t="n">
        <v>46280</v>
      </c>
      <c r="F208" t="inlineStr">
        <is>
          <t>ÖSTERGÖTLANDS LÄN</t>
        </is>
      </c>
      <c r="G208" t="inlineStr">
        <is>
          <t>VALDEMARSVIK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34488-2026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46255</v>
      </c>
      <c r="E209" s="1" t="n">
        <v>46280</v>
      </c>
      <c r="F209" t="inlineStr">
        <is>
          <t>ÖSTERGÖTLANDS LÄN</t>
        </is>
      </c>
      <c r="G209" t="inlineStr">
        <is>
          <t>VALDEMARSVIK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34616-2026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46255</v>
      </c>
      <c r="E210" s="1" t="n">
        <v>46280</v>
      </c>
      <c r="F210" t="inlineStr">
        <is>
          <t>ÖSTERGÖTLANDS LÄN</t>
        </is>
      </c>
      <c r="G210" t="inlineStr">
        <is>
          <t>VALDEMARSVIK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34489-2026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46255</v>
      </c>
      <c r="E211" s="1" t="n">
        <v>46280</v>
      </c>
      <c r="F211" t="inlineStr">
        <is>
          <t>ÖSTERGÖTLANDS LÄN</t>
        </is>
      </c>
      <c r="G211" t="inlineStr">
        <is>
          <t>VALDEMARSVIK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30964-2026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46213</v>
      </c>
      <c r="E212" s="1" t="n">
        <v>46280</v>
      </c>
      <c r="F212" t="inlineStr">
        <is>
          <t>ÖSTERGÖTLANDS LÄN</t>
        </is>
      </c>
      <c r="G212" t="inlineStr">
        <is>
          <t>VALDEMARSVIK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42623-2024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45565</v>
      </c>
      <c r="E213" s="1" t="n">
        <v>46280</v>
      </c>
      <c r="F213" t="inlineStr">
        <is>
          <t>ÖSTERGÖTLANDS LÄN</t>
        </is>
      </c>
      <c r="G213" t="inlineStr">
        <is>
          <t>VALDEMARSVIK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17937-2023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45040</v>
      </c>
      <c r="E214" s="1" t="n">
        <v>46280</v>
      </c>
      <c r="F214" t="inlineStr">
        <is>
          <t>ÖSTERGÖTLANDS LÄN</t>
        </is>
      </c>
      <c r="G214" t="inlineStr">
        <is>
          <t>VALDEMARSVIK</t>
        </is>
      </c>
      <c r="H214" t="inlineStr">
        <is>
          <t>Holmen skog AB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35740-2026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46265</v>
      </c>
      <c r="E215" s="1" t="n">
        <v>46280</v>
      </c>
      <c r="F215" t="inlineStr">
        <is>
          <t>ÖSTERGÖTLANDS LÄN</t>
        </is>
      </c>
      <c r="G215" t="inlineStr">
        <is>
          <t>VALDEMARSVIK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35806-2026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46265</v>
      </c>
      <c r="E216" s="1" t="n">
        <v>46280</v>
      </c>
      <c r="F216" t="inlineStr">
        <is>
          <t>ÖSTERGÖTLANDS LÄN</t>
        </is>
      </c>
      <c r="G216" t="inlineStr">
        <is>
          <t>VALDEMARSVIK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35924-2026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46266</v>
      </c>
      <c r="E217" s="1" t="n">
        <v>46280</v>
      </c>
      <c r="F217" t="inlineStr">
        <is>
          <t>ÖSTERGÖTLANDS LÄN</t>
        </is>
      </c>
      <c r="G217" t="inlineStr">
        <is>
          <t>VALDEMARSVIK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36555-2026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46269</v>
      </c>
      <c r="E218" s="1" t="n">
        <v>46280</v>
      </c>
      <c r="F218" t="inlineStr">
        <is>
          <t>ÖSTERGÖTLANDS LÄN</t>
        </is>
      </c>
      <c r="G218" t="inlineStr">
        <is>
          <t>VALDEMARSVIK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24972-2022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44728</v>
      </c>
      <c r="E219" s="1" t="n">
        <v>46280</v>
      </c>
      <c r="F219" t="inlineStr">
        <is>
          <t>ÖSTERGÖTLANDS LÄN</t>
        </is>
      </c>
      <c r="G219" t="inlineStr">
        <is>
          <t>VALDEMARSVIK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6502-2024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45339</v>
      </c>
      <c r="E220" s="1" t="n">
        <v>46280</v>
      </c>
      <c r="F220" t="inlineStr">
        <is>
          <t>ÖSTERGÖTLANDS LÄN</t>
        </is>
      </c>
      <c r="G220" t="inlineStr">
        <is>
          <t>VALDEMARSVIK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14429-2022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44652</v>
      </c>
      <c r="E221" s="1" t="n">
        <v>46280</v>
      </c>
      <c r="F221" t="inlineStr">
        <is>
          <t>ÖSTERGÖTLANDS LÄN</t>
        </is>
      </c>
      <c r="G221" t="inlineStr">
        <is>
          <t>VALDEMARSVIK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17585-2023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45036</v>
      </c>
      <c r="E222" s="1" t="n">
        <v>46280</v>
      </c>
      <c r="F222" t="inlineStr">
        <is>
          <t>ÖSTERGÖTLANDS LÄN</t>
        </is>
      </c>
      <c r="G222" t="inlineStr">
        <is>
          <t>VALDEMARSVIK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7266-2023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44970</v>
      </c>
      <c r="E223" s="1" t="n">
        <v>46280</v>
      </c>
      <c r="F223" t="inlineStr">
        <is>
          <t>ÖSTERGÖTLANDS LÄN</t>
        </is>
      </c>
      <c r="G223" t="inlineStr">
        <is>
          <t>VALDEMARSVIK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44922</v>
      </c>
      <c r="E224" s="1" t="n">
        <v>46280</v>
      </c>
      <c r="F224" t="inlineStr">
        <is>
          <t>ÖSTERGÖTLANDS LÄN</t>
        </is>
      </c>
      <c r="G224" t="inlineStr">
        <is>
          <t>VALDEMARSVIK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45783-2023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45195</v>
      </c>
      <c r="E225" s="1" t="n">
        <v>46280</v>
      </c>
      <c r="F225" t="inlineStr">
        <is>
          <t>ÖSTERGÖTLANDS LÄN</t>
        </is>
      </c>
      <c r="G225" t="inlineStr">
        <is>
          <t>VALDEMARSVIK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7582-2023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44972</v>
      </c>
      <c r="E226" s="1" t="n">
        <v>46280</v>
      </c>
      <c r="F226" t="inlineStr">
        <is>
          <t>ÖSTERGÖTLANDS LÄN</t>
        </is>
      </c>
      <c r="G226" t="inlineStr">
        <is>
          <t>VALDEMARSVIK</t>
        </is>
      </c>
      <c r="I226" t="n">
        <v>3.4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54812-2022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44883</v>
      </c>
      <c r="E227" s="1" t="n">
        <v>46280</v>
      </c>
      <c r="F227" t="inlineStr">
        <is>
          <t>ÖSTERGÖTLANDS LÄN</t>
        </is>
      </c>
      <c r="G227" t="inlineStr">
        <is>
          <t>VALDEMARSVIK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43151-2023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45183</v>
      </c>
      <c r="E228" s="1" t="n">
        <v>46280</v>
      </c>
      <c r="F228" t="inlineStr">
        <is>
          <t>ÖSTERGÖTLANDS LÄN</t>
        </is>
      </c>
      <c r="G228" t="inlineStr">
        <is>
          <t>VALDEMARSVIK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31862-2022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44777</v>
      </c>
      <c r="E229" s="1" t="n">
        <v>46280</v>
      </c>
      <c r="F229" t="inlineStr">
        <is>
          <t>ÖSTERGÖTLANDS LÄN</t>
        </is>
      </c>
      <c r="G229" t="inlineStr">
        <is>
          <t>VALDEMARSVIK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57864-2022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44899</v>
      </c>
      <c r="E230" s="1" t="n">
        <v>46280</v>
      </c>
      <c r="F230" t="inlineStr">
        <is>
          <t>ÖSTERGÖTLANDS LÄN</t>
        </is>
      </c>
      <c r="G230" t="inlineStr">
        <is>
          <t>VALDEMARSVIK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45404</v>
      </c>
      <c r="E231" s="1" t="n">
        <v>46280</v>
      </c>
      <c r="F231" t="inlineStr">
        <is>
          <t>ÖSTERGÖTLANDS LÄN</t>
        </is>
      </c>
      <c r="G231" t="inlineStr">
        <is>
          <t>VALDEMARSVIK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50041-2023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45215</v>
      </c>
      <c r="E232" s="1" t="n">
        <v>46280</v>
      </c>
      <c r="F232" t="inlineStr">
        <is>
          <t>ÖSTERGÖTLANDS LÄN</t>
        </is>
      </c>
      <c r="G232" t="inlineStr">
        <is>
          <t>VALDEMARSVIK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4331-2023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44953</v>
      </c>
      <c r="E233" s="1" t="n">
        <v>46280</v>
      </c>
      <c r="F233" t="inlineStr">
        <is>
          <t>ÖSTERGÖTLANDS LÄN</t>
        </is>
      </c>
      <c r="G233" t="inlineStr">
        <is>
          <t>VALDEMARSVIK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42401-2022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44830</v>
      </c>
      <c r="E234" s="1" t="n">
        <v>46280</v>
      </c>
      <c r="F234" t="inlineStr">
        <is>
          <t>ÖSTERGÖTLANDS LÄN</t>
        </is>
      </c>
      <c r="G234" t="inlineStr">
        <is>
          <t>VALDEMARSVIK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59741-2023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45257</v>
      </c>
      <c r="E235" s="1" t="n">
        <v>46280</v>
      </c>
      <c r="F235" t="inlineStr">
        <is>
          <t>ÖSTERGÖTLANDS LÄN</t>
        </is>
      </c>
      <c r="G235" t="inlineStr">
        <is>
          <t>VALDEMARSVIK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52223-2021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44463</v>
      </c>
      <c r="E236" s="1" t="n">
        <v>46280</v>
      </c>
      <c r="F236" t="inlineStr">
        <is>
          <t>ÖSTERGÖTLANDS LÄN</t>
        </is>
      </c>
      <c r="G236" t="inlineStr">
        <is>
          <t>VALDEMARSVIK</t>
        </is>
      </c>
      <c r="H236" t="inlineStr">
        <is>
          <t>Övriga Aktiebolag</t>
        </is>
      </c>
      <c r="I236" t="n">
        <v>10.8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8685-2022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44613</v>
      </c>
      <c r="E237" s="1" t="n">
        <v>46280</v>
      </c>
      <c r="F237" t="inlineStr">
        <is>
          <t>ÖSTERGÖTLANDS LÄN</t>
        </is>
      </c>
      <c r="G237" t="inlineStr">
        <is>
          <t>VALDEMARSVIK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43516-2024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45569</v>
      </c>
      <c r="E238" s="1" t="n">
        <v>46280</v>
      </c>
      <c r="F238" t="inlineStr">
        <is>
          <t>ÖSTERGÖTLANDS LÄN</t>
        </is>
      </c>
      <c r="G238" t="inlineStr">
        <is>
          <t>VALDEMARSVIK</t>
        </is>
      </c>
      <c r="H238" t="inlineStr">
        <is>
          <t>Kyrkan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43518-2024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45569</v>
      </c>
      <c r="E239" s="1" t="n">
        <v>46280</v>
      </c>
      <c r="F239" t="inlineStr">
        <is>
          <t>ÖSTERGÖTLANDS LÄN</t>
        </is>
      </c>
      <c r="G239" t="inlineStr">
        <is>
          <t>VALDEMARSVIK</t>
        </is>
      </c>
      <c r="H239" t="inlineStr">
        <is>
          <t>Kyrkan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21399-2023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45063</v>
      </c>
      <c r="E240" s="1" t="n">
        <v>46280</v>
      </c>
      <c r="F240" t="inlineStr">
        <is>
          <t>ÖSTERGÖTLANDS LÄN</t>
        </is>
      </c>
      <c r="G240" t="inlineStr">
        <is>
          <t>VALDEMARSVIK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14417-2024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45394</v>
      </c>
      <c r="E241" s="1" t="n">
        <v>46280</v>
      </c>
      <c r="F241" t="inlineStr">
        <is>
          <t>ÖSTERGÖTLANDS LÄN</t>
        </is>
      </c>
      <c r="G241" t="inlineStr">
        <is>
          <t>VALDEMARSVIK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17717-2025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45758</v>
      </c>
      <c r="E242" s="1" t="n">
        <v>46280</v>
      </c>
      <c r="F242" t="inlineStr">
        <is>
          <t>ÖSTERGÖTLANDS LÄN</t>
        </is>
      </c>
      <c r="G242" t="inlineStr">
        <is>
          <t>VALDEMARSVIK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34357-2023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45133</v>
      </c>
      <c r="E243" s="1" t="n">
        <v>46280</v>
      </c>
      <c r="F243" t="inlineStr">
        <is>
          <t>ÖSTERGÖTLANDS LÄN</t>
        </is>
      </c>
      <c r="G243" t="inlineStr">
        <is>
          <t>VALDEMARSVIK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21483-2023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45063</v>
      </c>
      <c r="E244" s="1" t="n">
        <v>46280</v>
      </c>
      <c r="F244" t="inlineStr">
        <is>
          <t>ÖSTERGÖTLANDS LÄN</t>
        </is>
      </c>
      <c r="G244" t="inlineStr">
        <is>
          <t>VALDEMARSVIK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38431-2024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45546</v>
      </c>
      <c r="E245" s="1" t="n">
        <v>46280</v>
      </c>
      <c r="F245" t="inlineStr">
        <is>
          <t>ÖSTERGÖTLANDS LÄN</t>
        </is>
      </c>
      <c r="G245" t="inlineStr">
        <is>
          <t>VALDEMARSVIK</t>
        </is>
      </c>
      <c r="I245" t="n">
        <v>4.2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45546</v>
      </c>
      <c r="E246" s="1" t="n">
        <v>46280</v>
      </c>
      <c r="F246" t="inlineStr">
        <is>
          <t>ÖSTERGÖTLANDS LÄN</t>
        </is>
      </c>
      <c r="G246" t="inlineStr">
        <is>
          <t>VALDEMARSVIK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45719</v>
      </c>
      <c r="E247" s="1" t="n">
        <v>46280</v>
      </c>
      <c r="F247" t="inlineStr">
        <is>
          <t>ÖSTERGÖTLANDS LÄN</t>
        </is>
      </c>
      <c r="G247" t="inlineStr">
        <is>
          <t>VALDEMARSVIK</t>
        </is>
      </c>
      <c r="I247" t="n">
        <v>10.3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44575</v>
      </c>
      <c r="E248" s="1" t="n">
        <v>46280</v>
      </c>
      <c r="F248" t="inlineStr">
        <is>
          <t>ÖSTERGÖTLANDS LÄN</t>
        </is>
      </c>
      <c r="G248" t="inlineStr">
        <is>
          <t>VALDEMARSVIK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41314-2023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45173</v>
      </c>
      <c r="E249" s="1" t="n">
        <v>46280</v>
      </c>
      <c r="F249" t="inlineStr">
        <is>
          <t>ÖSTERGÖTLANDS LÄN</t>
        </is>
      </c>
      <c r="G249" t="inlineStr">
        <is>
          <t>VALDEMARSVIK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23827-2022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44722</v>
      </c>
      <c r="E250" s="1" t="n">
        <v>46280</v>
      </c>
      <c r="F250" t="inlineStr">
        <is>
          <t>ÖSTERGÖTLANDS LÄN</t>
        </is>
      </c>
      <c r="G250" t="inlineStr">
        <is>
          <t>VALDEMARSVIK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21487-2023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45063</v>
      </c>
      <c r="E251" s="1" t="n">
        <v>46280</v>
      </c>
      <c r="F251" t="inlineStr">
        <is>
          <t>ÖSTERGÖTLANDS LÄN</t>
        </is>
      </c>
      <c r="G251" t="inlineStr">
        <is>
          <t>VALDEMARSVIK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7646-2025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45705</v>
      </c>
      <c r="E252" s="1" t="n">
        <v>46280</v>
      </c>
      <c r="F252" t="inlineStr">
        <is>
          <t>ÖSTERGÖTLANDS LÄN</t>
        </is>
      </c>
      <c r="G252" t="inlineStr">
        <is>
          <t>VALDEMARSVIK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7647-2025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45705</v>
      </c>
      <c r="E253" s="1" t="n">
        <v>46280</v>
      </c>
      <c r="F253" t="inlineStr">
        <is>
          <t>ÖSTERGÖTLANDS LÄN</t>
        </is>
      </c>
      <c r="G253" t="inlineStr">
        <is>
          <t>VALDEMARSVIK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45873-2023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45195</v>
      </c>
      <c r="E254" s="1" t="n">
        <v>46280</v>
      </c>
      <c r="F254" t="inlineStr">
        <is>
          <t>ÖSTERGÖTLANDS LÄN</t>
        </is>
      </c>
      <c r="G254" t="inlineStr">
        <is>
          <t>VALDEMARSVIK</t>
        </is>
      </c>
      <c r="I254" t="n">
        <v>15.8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57144-2024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45629</v>
      </c>
      <c r="E255" s="1" t="n">
        <v>46280</v>
      </c>
      <c r="F255" t="inlineStr">
        <is>
          <t>ÖSTERGÖTLANDS LÄN</t>
        </is>
      </c>
      <c r="G255" t="inlineStr">
        <is>
          <t>VALDEMARSVIK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3276-2023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44949</v>
      </c>
      <c r="E256" s="1" t="n">
        <v>46280</v>
      </c>
      <c r="F256" t="inlineStr">
        <is>
          <t>ÖSTERGÖTLANDS LÄN</t>
        </is>
      </c>
      <c r="G256" t="inlineStr">
        <is>
          <t>VALDEMARSVIK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50992-2023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45218</v>
      </c>
      <c r="E257" s="1" t="n">
        <v>46280</v>
      </c>
      <c r="F257" t="inlineStr">
        <is>
          <t>ÖSTERGÖTLANDS LÄN</t>
        </is>
      </c>
      <c r="G257" t="inlineStr">
        <is>
          <t>VALDEMARSVIK</t>
        </is>
      </c>
      <c r="H257" t="inlineStr">
        <is>
          <t>Holmen skog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62048-2022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44918</v>
      </c>
      <c r="E258" s="1" t="n">
        <v>46280</v>
      </c>
      <c r="F258" t="inlineStr">
        <is>
          <t>ÖSTERGÖTLANDS LÄN</t>
        </is>
      </c>
      <c r="G258" t="inlineStr">
        <is>
          <t>VALDEMARSVIK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10120-2025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45719</v>
      </c>
      <c r="E259" s="1" t="n">
        <v>46280</v>
      </c>
      <c r="F259" t="inlineStr">
        <is>
          <t>ÖSTERGÖTLANDS LÄN</t>
        </is>
      </c>
      <c r="G259" t="inlineStr">
        <is>
          <t>VALDEMARSVIK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21397-2023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45063</v>
      </c>
      <c r="E260" s="1" t="n">
        <v>46280</v>
      </c>
      <c r="F260" t="inlineStr">
        <is>
          <t>ÖSTERGÖTLANDS LÄN</t>
        </is>
      </c>
      <c r="G260" t="inlineStr">
        <is>
          <t>VALDEMARSVIK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14082-2023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45009</v>
      </c>
      <c r="E261" s="1" t="n">
        <v>46280</v>
      </c>
      <c r="F261" t="inlineStr">
        <is>
          <t>ÖSTERGÖTLANDS LÄN</t>
        </is>
      </c>
      <c r="G261" t="inlineStr">
        <is>
          <t>VALDEMARSVIK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4047-2023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44952</v>
      </c>
      <c r="E262" s="1" t="n">
        <v>46280</v>
      </c>
      <c r="F262" t="inlineStr">
        <is>
          <t>ÖSTERGÖTLANDS LÄN</t>
        </is>
      </c>
      <c r="G262" t="inlineStr">
        <is>
          <t>VALDEMARSVIK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47962-2023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45204</v>
      </c>
      <c r="E263" s="1" t="n">
        <v>46280</v>
      </c>
      <c r="F263" t="inlineStr">
        <is>
          <t>ÖSTERGÖTLANDS LÄN</t>
        </is>
      </c>
      <c r="G263" t="inlineStr">
        <is>
          <t>VALDEMARSVIK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49345-2023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45211</v>
      </c>
      <c r="E264" s="1" t="n">
        <v>46280</v>
      </c>
      <c r="F264" t="inlineStr">
        <is>
          <t>ÖSTERGÖTLANDS LÄN</t>
        </is>
      </c>
      <c r="G264" t="inlineStr">
        <is>
          <t>VALDEMARSVIK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45211</v>
      </c>
      <c r="E265" s="1" t="n">
        <v>46280</v>
      </c>
      <c r="F265" t="inlineStr">
        <is>
          <t>ÖSTERGÖTLANDS LÄN</t>
        </is>
      </c>
      <c r="G265" t="inlineStr">
        <is>
          <t>VALDEMARSVIK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54849-2023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45236</v>
      </c>
      <c r="E266" s="1" t="n">
        <v>46280</v>
      </c>
      <c r="F266" t="inlineStr">
        <is>
          <t>ÖSTERGÖTLANDS LÄN</t>
        </is>
      </c>
      <c r="G266" t="inlineStr">
        <is>
          <t>VALDEMARSVIK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45377-2023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45193</v>
      </c>
      <c r="E267" s="1" t="n">
        <v>46280</v>
      </c>
      <c r="F267" t="inlineStr">
        <is>
          <t>ÖSTERGÖTLANDS LÄN</t>
        </is>
      </c>
      <c r="G267" t="inlineStr">
        <is>
          <t>VALDEMARSVIK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47354-2023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45202</v>
      </c>
      <c r="E268" s="1" t="n">
        <v>46280</v>
      </c>
      <c r="F268" t="inlineStr">
        <is>
          <t>ÖSTERGÖTLANDS LÄN</t>
        </is>
      </c>
      <c r="G268" t="inlineStr">
        <is>
          <t>VALDEMARSVIK</t>
        </is>
      </c>
      <c r="I268" t="n">
        <v>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34572-2024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45526</v>
      </c>
      <c r="E269" s="1" t="n">
        <v>46280</v>
      </c>
      <c r="F269" t="inlineStr">
        <is>
          <t>ÖSTERGÖTLANDS LÄN</t>
        </is>
      </c>
      <c r="G269" t="inlineStr">
        <is>
          <t>VALDEMARSVIK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49931-2024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45597</v>
      </c>
      <c r="E270" s="1" t="n">
        <v>46280</v>
      </c>
      <c r="F270" t="inlineStr">
        <is>
          <t>ÖSTERGÖTLANDS LÄN</t>
        </is>
      </c>
      <c r="G270" t="inlineStr">
        <is>
          <t>VALDEMARSVIK</t>
        </is>
      </c>
      <c r="H270" t="inlineStr">
        <is>
          <t>Holmen skog AB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54785-2022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44883</v>
      </c>
      <c r="E271" s="1" t="n">
        <v>46280</v>
      </c>
      <c r="F271" t="inlineStr">
        <is>
          <t>ÖSTERGÖTLANDS LÄN</t>
        </is>
      </c>
      <c r="G271" t="inlineStr">
        <is>
          <t>VALDEMARSVIK</t>
        </is>
      </c>
      <c r="I271" t="n">
        <v>8.5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6522-2025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45699</v>
      </c>
      <c r="E272" s="1" t="n">
        <v>46280</v>
      </c>
      <c r="F272" t="inlineStr">
        <is>
          <t>ÖSTERGÖTLANDS LÄN</t>
        </is>
      </c>
      <c r="G272" t="inlineStr">
        <is>
          <t>VALDEMARSVIK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3276-2024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45317</v>
      </c>
      <c r="E273" s="1" t="n">
        <v>46280</v>
      </c>
      <c r="F273" t="inlineStr">
        <is>
          <t>ÖSTERGÖTLANDS LÄN</t>
        </is>
      </c>
      <c r="G273" t="inlineStr">
        <is>
          <t>VALDEMARSVIK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19747-2024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45432</v>
      </c>
      <c r="E274" s="1" t="n">
        <v>46280</v>
      </c>
      <c r="F274" t="inlineStr">
        <is>
          <t>ÖSTERGÖTLANDS LÄN</t>
        </is>
      </c>
      <c r="G274" t="inlineStr">
        <is>
          <t>VALDEMARSVIK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60242-2022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44910</v>
      </c>
      <c r="E275" s="1" t="n">
        <v>46280</v>
      </c>
      <c r="F275" t="inlineStr">
        <is>
          <t>ÖSTERGÖTLANDS LÄN</t>
        </is>
      </c>
      <c r="G275" t="inlineStr">
        <is>
          <t>VALDEMARSVIK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9337-2022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44616</v>
      </c>
      <c r="E276" s="1" t="n">
        <v>46280</v>
      </c>
      <c r="F276" t="inlineStr">
        <is>
          <t>ÖSTERGÖTLANDS LÄN</t>
        </is>
      </c>
      <c r="G276" t="inlineStr">
        <is>
          <t>VALDEMARSVIK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21233-2023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45062</v>
      </c>
      <c r="E277" s="1" t="n">
        <v>46280</v>
      </c>
      <c r="F277" t="inlineStr">
        <is>
          <t>ÖSTERGÖTLANDS LÄN</t>
        </is>
      </c>
      <c r="G277" t="inlineStr">
        <is>
          <t>VALDEMARSVIK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19745-2024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45432</v>
      </c>
      <c r="E278" s="1" t="n">
        <v>46280</v>
      </c>
      <c r="F278" t="inlineStr">
        <is>
          <t>ÖSTERGÖTLANDS LÄN</t>
        </is>
      </c>
      <c r="G278" t="inlineStr">
        <is>
          <t>VALDEMARSVIK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47679-2024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45588</v>
      </c>
      <c r="E279" s="1" t="n">
        <v>46280</v>
      </c>
      <c r="F279" t="inlineStr">
        <is>
          <t>ÖSTERGÖTLANDS LÄN</t>
        </is>
      </c>
      <c r="G279" t="inlineStr">
        <is>
          <t>VALDEMARSVIK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15660-2024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45404</v>
      </c>
      <c r="E280" s="1" t="n">
        <v>46280</v>
      </c>
      <c r="F280" t="inlineStr">
        <is>
          <t>ÖSTERGÖTLANDS LÄN</t>
        </is>
      </c>
      <c r="G280" t="inlineStr">
        <is>
          <t>VALDEMARSVIK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66424-2021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44518</v>
      </c>
      <c r="E281" s="1" t="n">
        <v>46280</v>
      </c>
      <c r="F281" t="inlineStr">
        <is>
          <t>ÖSTERGÖTLANDS LÄN</t>
        </is>
      </c>
      <c r="G281" t="inlineStr">
        <is>
          <t>VALDEMARSVIK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39583-2022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44818</v>
      </c>
      <c r="E282" s="1" t="n">
        <v>46280</v>
      </c>
      <c r="F282" t="inlineStr">
        <is>
          <t>ÖSTERGÖTLANDS LÄN</t>
        </is>
      </c>
      <c r="G282" t="inlineStr">
        <is>
          <t>VALDEMARSVIK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10122-2025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45719</v>
      </c>
      <c r="E283" s="1" t="n">
        <v>46280</v>
      </c>
      <c r="F283" t="inlineStr">
        <is>
          <t>ÖSTERGÖTLANDS LÄN</t>
        </is>
      </c>
      <c r="G283" t="inlineStr">
        <is>
          <t>VALDEMARSVIK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65113-2023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45287</v>
      </c>
      <c r="E284" s="1" t="n">
        <v>46280</v>
      </c>
      <c r="F284" t="inlineStr">
        <is>
          <t>ÖSTERGÖTLANDS LÄN</t>
        </is>
      </c>
      <c r="G284" t="inlineStr">
        <is>
          <t>VALDEMARSVIK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56830-2024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45628</v>
      </c>
      <c r="E285" s="1" t="n">
        <v>46280</v>
      </c>
      <c r="F285" t="inlineStr">
        <is>
          <t>ÖSTERGÖTLANDS LÄN</t>
        </is>
      </c>
      <c r="G285" t="inlineStr">
        <is>
          <t>VALDEMARSVIK</t>
        </is>
      </c>
      <c r="I285" t="n">
        <v>8.199999999999999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57862-2023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45247</v>
      </c>
      <c r="E286" s="1" t="n">
        <v>46280</v>
      </c>
      <c r="F286" t="inlineStr">
        <is>
          <t>ÖSTERGÖTLANDS LÄN</t>
        </is>
      </c>
      <c r="G286" t="inlineStr">
        <is>
          <t>VALDEMARSVIK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2472-2020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44140</v>
      </c>
      <c r="E287" s="1" t="n">
        <v>46280</v>
      </c>
      <c r="F287" t="inlineStr">
        <is>
          <t>ÖSTERGÖTLANDS LÄN</t>
        </is>
      </c>
      <c r="G287" t="inlineStr">
        <is>
          <t>VALDEMARSVIK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1221-2020</t>
        </is>
      </c>
      <c r="B288" t="inlineStr">
        <is>
          <t>samrådsanmälan</t>
        </is>
      </c>
      <c r="C288" t="inlineStr">
        <is>
          <t>Åtgärd i nyckelbiotop</t>
        </is>
      </c>
      <c r="D288" s="1" t="n">
        <v>43951</v>
      </c>
      <c r="E288" s="1" t="n">
        <v>46280</v>
      </c>
      <c r="F288" t="inlineStr">
        <is>
          <t>ÖSTERGÖTLANDS LÄN</t>
        </is>
      </c>
      <c r="G288" t="inlineStr">
        <is>
          <t>VALDEMARSVIK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3578-2022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44735</v>
      </c>
      <c r="E289" s="1" t="n">
        <v>46280</v>
      </c>
      <c r="F289" t="inlineStr">
        <is>
          <t>ÖSTERGÖTLANDS LÄN</t>
        </is>
      </c>
      <c r="G289" t="inlineStr">
        <is>
          <t>VALDEMARSVIK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70-2024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45300</v>
      </c>
      <c r="E290" s="1" t="n">
        <v>46280</v>
      </c>
      <c r="F290" t="inlineStr">
        <is>
          <t>ÖSTERGÖTLANDS LÄN</t>
        </is>
      </c>
      <c r="G290" t="inlineStr">
        <is>
          <t>VALDEMARSVIK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536-2025</t>
        </is>
      </c>
      <c r="B291" t="inlineStr">
        <is>
          <t>samrådsanmälan</t>
        </is>
      </c>
      <c r="C291" t="inlineStr">
        <is>
          <t>Åtgärd i nyckelbiotop</t>
        </is>
      </c>
      <c r="D291" s="1" t="n">
        <v>45708</v>
      </c>
      <c r="E291" s="1" t="n">
        <v>46280</v>
      </c>
      <c r="F291" t="inlineStr">
        <is>
          <t>ÖSTERGÖTLANDS LÄN</t>
        </is>
      </c>
      <c r="G291" t="inlineStr">
        <is>
          <t>VALDEMARSVIK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>
      <c r="A292" t="inlineStr">
        <is>
          <t>S 508-2026</t>
        </is>
      </c>
      <c r="B292" t="inlineStr">
        <is>
          <t>samrådsanmälan</t>
        </is>
      </c>
      <c r="C292" t="inlineStr">
        <is>
          <t>Skogsgödsling</t>
        </is>
      </c>
      <c r="D292" s="1" t="n">
        <v>46076</v>
      </c>
      <c r="E292" s="1" t="n">
        <v>46280</v>
      </c>
      <c r="F292" t="inlineStr">
        <is>
          <t>ÖSTERGÖTLANDS LÄN</t>
        </is>
      </c>
      <c r="G292" t="inlineStr">
        <is>
          <t>VALDEMARSVIK</t>
        </is>
      </c>
      <c r="I292" t="n">
        <v>42.4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2026-09-15T08:14:54Z</dcterms:created>
  <dcterms:modified xmlns:dcterms="http://purl.org/dc/terms/" xmlns:xsi="http://www.w3.org/2001/XMLSchema-instance" xsi:type="dcterms:W3CDTF">2026-09-15T08:14:54Z</dcterms:modified>
</cp:coreProperties>
</file>