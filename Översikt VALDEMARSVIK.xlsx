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28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A 43507-2024</t>
        </is>
      </c>
      <c r="B2" t="inlineStr">
        <is>
          <t>avverkningsanmälan</t>
        </is>
      </c>
      <c r="C2" t="inlineStr">
        <is>
          <t>Föryngringsavverkning</t>
        </is>
      </c>
      <c r="D2" s="1" t="n">
        <v>45569</v>
      </c>
      <c r="E2" s="1" t="n">
        <v>46322</v>
      </c>
      <c r="F2" t="inlineStr">
        <is>
          <t>ÖSTERGÖTLANDS LÄN</t>
        </is>
      </c>
      <c r="G2" t="inlineStr">
        <is>
          <t>VALDEMARSVIK</t>
        </is>
      </c>
      <c r="I2" t="n">
        <v>6.1</v>
      </c>
      <c r="J2" t="n">
        <v>5</v>
      </c>
      <c r="K2" t="n">
        <v>2</v>
      </c>
      <c r="L2" t="n">
        <v>2</v>
      </c>
      <c r="M2" t="n">
        <v>0</v>
      </c>
      <c r="N2" t="n">
        <v>0</v>
      </c>
      <c r="O2" t="n">
        <v>0</v>
      </c>
      <c r="P2" t="n">
        <v>0</v>
      </c>
      <c r="Q2" t="n">
        <v>2</v>
      </c>
      <c r="R2" t="n">
        <v>0</v>
      </c>
      <c r="S2" t="n">
        <v>7</v>
      </c>
      <c r="T2" t="n">
        <v>10</v>
      </c>
      <c r="U2" t="n">
        <v>9</v>
      </c>
      <c r="V2" s="2" t="inlineStr">
        <is>
          <t>Mindre hackspett
Talltita
Blåmossa
Gullgröppa
Spillkråka
Myggblomster
Revlummer</t>
        </is>
      </c>
      <c r="W2">
        <f>HYPERLINK("https://klasma.github.io/Logging_0563/artfynd/A 43507-2024 artfynd.xlsx", "A 43507-2024")</f>
        <v/>
      </c>
      <c r="X2">
        <f>HYPERLINK("https://klasma.github.io/Logging_0563/kartor/A 43507-2024 karta.png", "A 43507-2024")</f>
        <v/>
      </c>
      <c r="Y2">
        <f>HYPERLINK("https://klasma.github.io/Logging_0563/kartor_geotiff/A 43507-2024 georefererad karta.tif", "A 43507-2024")</f>
        <v/>
      </c>
      <c r="AA2">
        <f>HYPERLINK("https://klasma.github.io/Logging_0563/klagomål/A 43507-2024 FSC-klagomål.docx", "A 43507-2024")</f>
        <v/>
      </c>
      <c r="AB2">
        <f>HYPERLINK("https://klasma.github.io/Logging_0563/klagomålsmail/A 43507-2024 FSC-klagomål mail.docx", "A 43507-2024")</f>
        <v/>
      </c>
      <c r="AC2">
        <f>HYPERLINK("https://klasma.github.io/Logging_0563/tillsyn/A 43507-2024 tillsynsbegäran.docx", "A 43507-2024")</f>
        <v/>
      </c>
      <c r="AD2">
        <f>HYPERLINK("https://klasma.github.io/Logging_0563/tillsynsmail/A 43507-2024 tillsynsbegäran mail.docx", "A 43507-2024")</f>
        <v/>
      </c>
      <c r="AE2">
        <f>HYPERLINK("https://klasma.github.io/Logging_0563/fåglar/A 43507-2024 prioriterade fågelarter.docx", "A 43507-2024")</f>
        <v/>
      </c>
    </row>
    <row r="3" ht="15" customHeight="1">
      <c r="A3" t="inlineStr">
        <is>
          <t>A 43506-2024</t>
        </is>
      </c>
      <c r="B3" t="inlineStr">
        <is>
          <t>avverkningsanmälan</t>
        </is>
      </c>
      <c r="C3" t="inlineStr">
        <is>
          <t>Föryngringsavverkning</t>
        </is>
      </c>
      <c r="D3" s="1" t="n">
        <v>45569</v>
      </c>
      <c r="E3" s="1" t="n">
        <v>46322</v>
      </c>
      <c r="F3" t="inlineStr">
        <is>
          <t>ÖSTERGÖTLANDS LÄN</t>
        </is>
      </c>
      <c r="G3" t="inlineStr">
        <is>
          <t>VALDEMARSVIK</t>
        </is>
      </c>
      <c r="I3" t="n">
        <v>4.5</v>
      </c>
      <c r="J3" t="n">
        <v>6</v>
      </c>
      <c r="K3" t="n">
        <v>1</v>
      </c>
      <c r="L3" t="n">
        <v>1</v>
      </c>
      <c r="M3" t="n">
        <v>1</v>
      </c>
      <c r="N3" t="n">
        <v>0</v>
      </c>
      <c r="O3" t="n">
        <v>0</v>
      </c>
      <c r="P3" t="n">
        <v>0</v>
      </c>
      <c r="Q3" t="n">
        <v>2</v>
      </c>
      <c r="R3" t="n">
        <v>1</v>
      </c>
      <c r="S3" t="n">
        <v>7</v>
      </c>
      <c r="T3" t="n">
        <v>22</v>
      </c>
      <c r="U3" t="n">
        <v>22</v>
      </c>
      <c r="V3" s="2" t="inlineStr">
        <is>
          <t>Knärot
Talltita
Blåmossa
Mattlummer
Spillkråka
Kungsfågel
Revlummer</t>
        </is>
      </c>
      <c r="W3">
        <f>HYPERLINK("https://klasma.github.io/Logging_0563/artfynd/A 43506-2024 artfynd.xlsx", "A 43506-2024")</f>
        <v/>
      </c>
      <c r="X3">
        <f>HYPERLINK("https://klasma.github.io/Logging_0563/kartor/A 43506-2024 karta.png", "A 43506-2024")</f>
        <v/>
      </c>
      <c r="Y3">
        <f>HYPERLINK("https://klasma.github.io/Logging_0563/kartor_geotiff/A 43506-2024 georefererad karta.tif", "A 43506-2024")</f>
        <v/>
      </c>
      <c r="Z3">
        <f>HYPERLINK("https://klasma.github.io/Logging_0563/knärot/A 43506-2024 karta knärot.png", "A 43506-2024")</f>
        <v/>
      </c>
      <c r="AA3">
        <f>HYPERLINK("https://klasma.github.io/Logging_0563/klagomål/A 43506-2024 FSC-klagomål.docx", "A 43506-2024")</f>
        <v/>
      </c>
      <c r="AB3">
        <f>HYPERLINK("https://klasma.github.io/Logging_0563/klagomålsmail/A 43506-2024 FSC-klagomål mail.docx", "A 43506-2024")</f>
        <v/>
      </c>
      <c r="AC3">
        <f>HYPERLINK("https://klasma.github.io/Logging_0563/tillsyn/A 43506-2024 tillsynsbegäran.docx", "A 43506-2024")</f>
        <v/>
      </c>
      <c r="AD3">
        <f>HYPERLINK("https://klasma.github.io/Logging_0563/tillsynsmail/A 43506-2024 tillsynsbegäran mail.docx", "A 43506-2024")</f>
        <v/>
      </c>
      <c r="AE3">
        <f>HYPERLINK("https://klasma.github.io/Logging_0563/fåglar/A 43506-2024 prioriterade fågelarter.docx", "A 43506-2024")</f>
        <v/>
      </c>
    </row>
    <row r="4" ht="15" customHeight="1">
      <c r="A4" t="inlineStr">
        <is>
          <t>S 3051-2025</t>
        </is>
      </c>
      <c r="B4" t="inlineStr">
        <is>
          <t>samrådsanmälan</t>
        </is>
      </c>
      <c r="C4" t="inlineStr">
        <is>
          <t>Annan skogsbruksåtgärd</t>
        </is>
      </c>
      <c r="D4" s="1" t="n">
        <v>45961</v>
      </c>
      <c r="E4" s="1" t="n">
        <v>46322</v>
      </c>
      <c r="F4" t="inlineStr">
        <is>
          <t>ÖSTERGÖTLANDS LÄN</t>
        </is>
      </c>
      <c r="G4" t="inlineStr">
        <is>
          <t>VALDEMARSVIK</t>
        </is>
      </c>
      <c r="I4" t="n">
        <v>0.9</v>
      </c>
      <c r="J4" t="n">
        <v>4</v>
      </c>
      <c r="K4" t="n">
        <v>1</v>
      </c>
      <c r="L4" t="n">
        <v>1</v>
      </c>
      <c r="M4" t="n">
        <v>0</v>
      </c>
      <c r="N4" t="n">
        <v>0</v>
      </c>
      <c r="O4" t="n">
        <v>0</v>
      </c>
      <c r="P4" t="n">
        <v>0</v>
      </c>
      <c r="Q4" t="n">
        <v>1</v>
      </c>
      <c r="R4" t="n">
        <v>0</v>
      </c>
      <c r="S4" t="n">
        <v>7</v>
      </c>
      <c r="T4" t="n">
        <v>8</v>
      </c>
      <c r="U4" t="n">
        <v>8</v>
      </c>
      <c r="V4" s="2" t="inlineStr">
        <is>
          <t>Fyrflikig jordstjärna
Scharlakansskål
Ormbär
Fiskgjuse
Grönsiska
Svartvit flugsnappare
Vanlig padda</t>
        </is>
      </c>
      <c r="W4">
        <f>HYPERLINK("https://klasma.github.io/Logging_0563/artfynd/S 3051-2025 artfynd.xlsx", "S 3051-2025")</f>
        <v/>
      </c>
      <c r="X4">
        <f>HYPERLINK("https://klasma.github.io/Logging_0563/kartor/S 3051-2025 karta.png", "S 3051-2025")</f>
        <v/>
      </c>
      <c r="Y4">
        <f>HYPERLINK("https://klasma.github.io/Logging_0563/kartor_geotiff/S 3051-2025 georefererad karta.tif", "S 3051-2025")</f>
        <v/>
      </c>
      <c r="AA4">
        <f>HYPERLINK("https://klasma.github.io/Logging_0563/klagomål/S 3051-2025 FSC-klagomål.docx", "S 3051-2025")</f>
        <v/>
      </c>
      <c r="AB4">
        <f>HYPERLINK("https://klasma.github.io/Logging_0563/klagomålsmail/S 3051-2025 FSC-klagomål mail.docx", "S 3051-2025")</f>
        <v/>
      </c>
      <c r="AC4">
        <f>HYPERLINK("https://klasma.github.io/Logging_0563/tillsyn/S 3051-2025 tillsynsbegäran.docx", "S 3051-2025")</f>
        <v/>
      </c>
      <c r="AD4">
        <f>HYPERLINK("https://klasma.github.io/Logging_0563/tillsynsmail/S 3051-2025 tillsynsbegäran mail.docx", "S 3051-2025")</f>
        <v/>
      </c>
      <c r="AE4">
        <f>HYPERLINK("https://klasma.github.io/Logging_0563/fåglar/S 3051-2025 prioriterade fågelarter.docx", "S 3051-2025")</f>
        <v/>
      </c>
    </row>
    <row r="5" ht="15" customHeight="1">
      <c r="A5" t="inlineStr">
        <is>
          <t>A 1606-2022</t>
        </is>
      </c>
      <c r="B5" t="inlineStr">
        <is>
          <t>avverkningsanmälan</t>
        </is>
      </c>
      <c r="C5" t="inlineStr">
        <is>
          <t>Föryngringsavverkning</t>
        </is>
      </c>
      <c r="D5" s="1" t="n">
        <v>44573</v>
      </c>
      <c r="E5" s="1" t="n">
        <v>46322</v>
      </c>
      <c r="F5" t="inlineStr">
        <is>
          <t>ÖSTERGÖTLANDS LÄN</t>
        </is>
      </c>
      <c r="G5" t="inlineStr">
        <is>
          <t>VALDEMARSVIK</t>
        </is>
      </c>
      <c r="I5" t="n">
        <v>4.6</v>
      </c>
      <c r="J5" t="n">
        <v>1</v>
      </c>
      <c r="K5" t="n">
        <v>2</v>
      </c>
      <c r="L5" t="n">
        <v>2</v>
      </c>
      <c r="M5" t="n">
        <v>1</v>
      </c>
      <c r="N5" t="n">
        <v>0</v>
      </c>
      <c r="O5" t="n">
        <v>0</v>
      </c>
      <c r="P5" t="n">
        <v>0</v>
      </c>
      <c r="Q5" t="n">
        <v>3</v>
      </c>
      <c r="R5" t="n">
        <v>1</v>
      </c>
      <c r="S5" t="n">
        <v>6</v>
      </c>
      <c r="T5" t="n">
        <v>7</v>
      </c>
      <c r="U5" t="n">
        <v>7</v>
      </c>
      <c r="V5" s="2" t="inlineStr">
        <is>
          <t>Knärot
Svinrot
Tallticka
Guldlockmossa
Mindre märgborre
Bergsslok</t>
        </is>
      </c>
      <c r="W5">
        <f>HYPERLINK("https://klasma.github.io/Logging_0563/artfynd/A 1606-2022 artfynd.xlsx", "A 1606-2022")</f>
        <v/>
      </c>
      <c r="X5">
        <f>HYPERLINK("https://klasma.github.io/Logging_0563/kartor/A 1606-2022 karta.png", "A 1606-2022")</f>
        <v/>
      </c>
      <c r="Y5">
        <f>HYPERLINK("https://klasma.github.io/Logging_0563/kartor_geotiff/A 1606-2022 georefererad karta.tif", "A 1606-2022")</f>
        <v/>
      </c>
      <c r="Z5">
        <f>HYPERLINK("https://klasma.github.io/Logging_0563/knärot/A 1606-2022 karta knärot.png", "A 1606-2022")</f>
        <v/>
      </c>
      <c r="AA5">
        <f>HYPERLINK("https://klasma.github.io/Logging_0563/klagomål/A 1606-2022 FSC-klagomål.docx", "A 1606-2022")</f>
        <v/>
      </c>
      <c r="AB5">
        <f>HYPERLINK("https://klasma.github.io/Logging_0563/klagomålsmail/A 1606-2022 FSC-klagomål mail.docx", "A 1606-2022")</f>
        <v/>
      </c>
      <c r="AC5">
        <f>HYPERLINK("https://klasma.github.io/Logging_0563/tillsyn/A 1606-2022 tillsynsbegäran.docx", "A 1606-2022")</f>
        <v/>
      </c>
      <c r="AD5">
        <f>HYPERLINK("https://klasma.github.io/Logging_0563/tillsynsmail/A 1606-2022 tillsynsbegäran mail.docx", "A 1606-2022")</f>
        <v/>
      </c>
    </row>
    <row r="6" ht="15" customHeight="1">
      <c r="A6" t="inlineStr">
        <is>
          <t>A 46766-2025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45926</v>
      </c>
      <c r="E6" s="1" t="n">
        <v>46322</v>
      </c>
      <c r="F6" t="inlineStr">
        <is>
          <t>ÖSTERGÖTLANDS LÄN</t>
        </is>
      </c>
      <c r="G6" t="inlineStr">
        <is>
          <t>VALDEMARSVIK</t>
        </is>
      </c>
      <c r="I6" t="n">
        <v>1.9</v>
      </c>
      <c r="J6" t="n">
        <v>2</v>
      </c>
      <c r="K6" t="n">
        <v>3</v>
      </c>
      <c r="L6" t="n">
        <v>0</v>
      </c>
      <c r="M6" t="n">
        <v>1</v>
      </c>
      <c r="N6" t="n">
        <v>0</v>
      </c>
      <c r="O6" t="n">
        <v>0</v>
      </c>
      <c r="P6" t="n">
        <v>0</v>
      </c>
      <c r="Q6" t="n">
        <v>1</v>
      </c>
      <c r="R6" t="n">
        <v>1</v>
      </c>
      <c r="S6" t="n">
        <v>5</v>
      </c>
      <c r="T6" t="n">
        <v>8</v>
      </c>
      <c r="U6" t="n">
        <v>8</v>
      </c>
      <c r="V6" s="2" t="inlineStr">
        <is>
          <t>Knärot
Bronshjon
Flagellkvastmossa
Stubbspretmossa
Mattlummer</t>
        </is>
      </c>
      <c r="W6">
        <f>HYPERLINK("https://klasma.github.io/Logging_0563/artfynd/A 46766-2025 artfynd.xlsx", "A 46766-2025")</f>
        <v/>
      </c>
      <c r="X6">
        <f>HYPERLINK("https://klasma.github.io/Logging_0563/kartor/A 46766-2025 karta.png", "A 46766-2025")</f>
        <v/>
      </c>
      <c r="Y6">
        <f>HYPERLINK("https://klasma.github.io/Logging_0563/kartor_geotiff/A 46766-2025 georefererad karta.tif", "A 46766-2025")</f>
        <v/>
      </c>
      <c r="Z6">
        <f>HYPERLINK("https://klasma.github.io/Logging_0563/knärot/A 46766-2025 karta knärot.png", "A 46766-2025")</f>
        <v/>
      </c>
      <c r="AA6">
        <f>HYPERLINK("https://klasma.github.io/Logging_0563/klagomål/A 46766-2025 FSC-klagomål.docx", "A 46766-2025")</f>
        <v/>
      </c>
      <c r="AB6">
        <f>HYPERLINK("https://klasma.github.io/Logging_0563/klagomålsmail/A 46766-2025 FSC-klagomål mail.docx", "A 46766-2025")</f>
        <v/>
      </c>
      <c r="AC6">
        <f>HYPERLINK("https://klasma.github.io/Logging_0563/tillsyn/A 46766-2025 tillsynsbegäran.docx", "A 46766-2025")</f>
        <v/>
      </c>
      <c r="AD6">
        <f>HYPERLINK("https://klasma.github.io/Logging_0563/tillsynsmail/A 46766-2025 tillsynsbegäran mail.docx", "A 46766-2025")</f>
        <v/>
      </c>
    </row>
    <row r="7" ht="15" customHeight="1">
      <c r="A7" t="inlineStr">
        <is>
          <t>A 1075-2022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44571</v>
      </c>
      <c r="E7" s="1" t="n">
        <v>46322</v>
      </c>
      <c r="F7" t="inlineStr">
        <is>
          <t>ÖSTERGÖTLANDS LÄN</t>
        </is>
      </c>
      <c r="G7" t="inlineStr">
        <is>
          <t>VALDEMARSVIK</t>
        </is>
      </c>
      <c r="I7" t="n">
        <v>2.3</v>
      </c>
      <c r="J7" t="n">
        <v>1</v>
      </c>
      <c r="K7" t="n">
        <v>3</v>
      </c>
      <c r="L7" t="n">
        <v>1</v>
      </c>
      <c r="M7" t="n">
        <v>1</v>
      </c>
      <c r="N7" t="n">
        <v>0</v>
      </c>
      <c r="O7" t="n">
        <v>0</v>
      </c>
      <c r="P7" t="n">
        <v>0</v>
      </c>
      <c r="Q7" t="n">
        <v>2</v>
      </c>
      <c r="R7" t="n">
        <v>1</v>
      </c>
      <c r="S7" t="n">
        <v>5</v>
      </c>
      <c r="T7" t="n">
        <v>17</v>
      </c>
      <c r="U7" t="n">
        <v>17</v>
      </c>
      <c r="V7" s="2" t="inlineStr">
        <is>
          <t>Knärot
Tallticka
Blåmossa
Grönpyrola
Rostfläck</t>
        </is>
      </c>
      <c r="W7">
        <f>HYPERLINK("https://klasma.github.io/Logging_0563/artfynd/A 1075-2022 artfynd.xlsx", "A 1075-2022")</f>
        <v/>
      </c>
      <c r="X7">
        <f>HYPERLINK("https://klasma.github.io/Logging_0563/kartor/A 1075-2022 karta.png", "A 1075-2022")</f>
        <v/>
      </c>
      <c r="Y7">
        <f>HYPERLINK("https://klasma.github.io/Logging_0563/kartor_geotiff/A 1075-2022 georefererad karta.tif", "A 1075-2022")</f>
        <v/>
      </c>
      <c r="Z7">
        <f>HYPERLINK("https://klasma.github.io/Logging_0563/knärot/A 1075-2022 karta knärot.png", "A 1075-2022")</f>
        <v/>
      </c>
      <c r="AA7">
        <f>HYPERLINK("https://klasma.github.io/Logging_0563/klagomål/A 1075-2022 FSC-klagomål.docx", "A 1075-2022")</f>
        <v/>
      </c>
      <c r="AB7">
        <f>HYPERLINK("https://klasma.github.io/Logging_0563/klagomålsmail/A 1075-2022 FSC-klagomål mail.docx", "A 1075-2022")</f>
        <v/>
      </c>
      <c r="AC7">
        <f>HYPERLINK("https://klasma.github.io/Logging_0563/tillsyn/A 1075-2022 tillsynsbegäran.docx", "A 1075-2022")</f>
        <v/>
      </c>
      <c r="AD7">
        <f>HYPERLINK("https://klasma.github.io/Logging_0563/tillsynsmail/A 1075-2022 tillsynsbegäran mail.docx", "A 1075-2022")</f>
        <v/>
      </c>
    </row>
    <row r="8" ht="15" customHeight="1">
      <c r="A8" t="inlineStr">
        <is>
          <t>A 29305-2026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46202</v>
      </c>
      <c r="E8" s="1" t="n">
        <v>46322</v>
      </c>
      <c r="F8" t="inlineStr">
        <is>
          <t>ÖSTERGÖTLANDS LÄN</t>
        </is>
      </c>
      <c r="G8" t="inlineStr">
        <is>
          <t>VALDEMARSVIK</t>
        </is>
      </c>
      <c r="I8" t="n">
        <v>7.9</v>
      </c>
      <c r="J8" t="n">
        <v>3</v>
      </c>
      <c r="K8" t="n">
        <v>1</v>
      </c>
      <c r="L8" t="n">
        <v>2</v>
      </c>
      <c r="M8" t="n">
        <v>1</v>
      </c>
      <c r="N8" t="n">
        <v>0</v>
      </c>
      <c r="O8" t="n">
        <v>0</v>
      </c>
      <c r="P8" t="n">
        <v>0</v>
      </c>
      <c r="Q8" t="n">
        <v>3</v>
      </c>
      <c r="R8" t="n">
        <v>1</v>
      </c>
      <c r="S8" t="n">
        <v>5</v>
      </c>
      <c r="T8" t="n">
        <v>6</v>
      </c>
      <c r="U8" t="n">
        <v>0</v>
      </c>
      <c r="V8" s="2" t="inlineStr">
        <is>
          <t>Knärot
Krusfrö
Sädesärla
Murgröna
Huggorm</t>
        </is>
      </c>
      <c r="W8">
        <f>HYPERLINK("https://klasma.github.io/Logging_0563/artfynd/A 29305-2026 artfynd.xlsx", "A 29305-2026")</f>
        <v/>
      </c>
      <c r="X8">
        <f>HYPERLINK("https://klasma.github.io/Logging_0563/kartor/A 29305-2026 karta.png", "A 29305-2026")</f>
        <v/>
      </c>
      <c r="Y8">
        <f>HYPERLINK("https://klasma.github.io/Logging_0563/kartor_geotiff/A 29305-2026 georefererad karta.tif", "A 29305-2026")</f>
        <v/>
      </c>
      <c r="Z8">
        <f>HYPERLINK("https://klasma.github.io/Logging_0563/knärot/A 29305-2026 karta knärot.png", "A 29305-2026")</f>
        <v/>
      </c>
      <c r="AA8">
        <f>HYPERLINK("https://klasma.github.io/Logging_0563/klagomål/A 29305-2026 FSC-klagomål.docx", "A 29305-2026")</f>
        <v/>
      </c>
      <c r="AB8">
        <f>HYPERLINK("https://klasma.github.io/Logging_0563/klagomålsmail/A 29305-2026 FSC-klagomål mail.docx", "A 29305-2026")</f>
        <v/>
      </c>
      <c r="AC8">
        <f>HYPERLINK("https://klasma.github.io/Logging_0563/tillsyn/A 29305-2026 tillsynsbegäran.docx", "A 29305-2026")</f>
        <v/>
      </c>
      <c r="AD8">
        <f>HYPERLINK("https://klasma.github.io/Logging_0563/tillsynsmail/A 29305-2026 tillsynsbegäran mail.docx", "A 29305-2026")</f>
        <v/>
      </c>
      <c r="AE8">
        <f>HYPERLINK("https://klasma.github.io/Logging_0563/fåglar/A 29305-2026 prioriterade fågelarter.docx", "A 29305-2026")</f>
        <v/>
      </c>
    </row>
    <row r="9" ht="15" customHeight="1">
      <c r="A9" t="inlineStr">
        <is>
          <t>A 59356-2023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45253</v>
      </c>
      <c r="E9" s="1" t="n">
        <v>46322</v>
      </c>
      <c r="F9" t="inlineStr">
        <is>
          <t>ÖSTERGÖTLANDS LÄN</t>
        </is>
      </c>
      <c r="G9" t="inlineStr">
        <is>
          <t>VALDEMARSVIK</t>
        </is>
      </c>
      <c r="H9" t="inlineStr">
        <is>
          <t>Holmen skog AB</t>
        </is>
      </c>
      <c r="I9" t="n">
        <v>2.1</v>
      </c>
      <c r="J9" t="n">
        <v>0</v>
      </c>
      <c r="K9" t="n">
        <v>3</v>
      </c>
      <c r="L9" t="n">
        <v>0</v>
      </c>
      <c r="M9" t="n">
        <v>1</v>
      </c>
      <c r="N9" t="n">
        <v>1</v>
      </c>
      <c r="O9" t="n">
        <v>0</v>
      </c>
      <c r="P9" t="n">
        <v>0</v>
      </c>
      <c r="Q9" t="n">
        <v>2</v>
      </c>
      <c r="R9" t="n">
        <v>2</v>
      </c>
      <c r="S9" t="n">
        <v>5</v>
      </c>
      <c r="T9" t="n">
        <v>6</v>
      </c>
      <c r="U9" t="n">
        <v>0</v>
      </c>
      <c r="V9" s="2" t="inlineStr">
        <is>
          <t>Ask
Bukspolsnäcka
Aspvedgnagare
Myskbock
Noshornsoxe</t>
        </is>
      </c>
      <c r="W9">
        <f>HYPERLINK("https://klasma.github.io/Logging_0563/artfynd/A 59356-2023 artfynd.xlsx", "A 59356-2023")</f>
        <v/>
      </c>
      <c r="X9">
        <f>HYPERLINK("https://klasma.github.io/Logging_0563/kartor/A 59356-2023 karta.png", "A 59356-2023")</f>
        <v/>
      </c>
      <c r="Y9">
        <f>HYPERLINK("https://klasma.github.io/Logging_0563/kartor_geotiff/A 59356-2023 georefererad karta.tif", "A 59356-2023")</f>
        <v/>
      </c>
      <c r="AA9">
        <f>HYPERLINK("https://klasma.github.io/Logging_0563/klagomål/A 59356-2023 FSC-klagomål.docx", "A 59356-2023")</f>
        <v/>
      </c>
      <c r="AB9">
        <f>HYPERLINK("https://klasma.github.io/Logging_0563/klagomålsmail/A 59356-2023 FSC-klagomål mail.docx", "A 59356-2023")</f>
        <v/>
      </c>
      <c r="AC9">
        <f>HYPERLINK("https://klasma.github.io/Logging_0563/tillsyn/A 59356-2023 tillsynsbegäran.docx", "A 59356-2023")</f>
        <v/>
      </c>
      <c r="AD9">
        <f>HYPERLINK("https://klasma.github.io/Logging_0563/tillsynsmail/A 59356-2023 tillsynsbegäran mail.docx", "A 59356-2023")</f>
        <v/>
      </c>
    </row>
    <row r="10" ht="15" customHeight="1">
      <c r="A10" t="inlineStr">
        <is>
          <t>A 22312-2022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44712</v>
      </c>
      <c r="E10" s="1" t="n">
        <v>46322</v>
      </c>
      <c r="F10" t="inlineStr">
        <is>
          <t>ÖSTERGÖTLANDS LÄN</t>
        </is>
      </c>
      <c r="G10" t="inlineStr">
        <is>
          <t>VALDEMARSVIK</t>
        </is>
      </c>
      <c r="I10" t="n">
        <v>0.6</v>
      </c>
      <c r="J10" t="n">
        <v>3</v>
      </c>
      <c r="K10" t="n">
        <v>0</v>
      </c>
      <c r="L10" t="n">
        <v>2</v>
      </c>
      <c r="M10" t="n">
        <v>0</v>
      </c>
      <c r="N10" t="n">
        <v>0</v>
      </c>
      <c r="O10" t="n">
        <v>0</v>
      </c>
      <c r="P10" t="n">
        <v>0</v>
      </c>
      <c r="Q10" t="n">
        <v>2</v>
      </c>
      <c r="R10" t="n">
        <v>0</v>
      </c>
      <c r="S10" t="n">
        <v>3</v>
      </c>
      <c r="T10" t="n">
        <v>3</v>
      </c>
      <c r="U10" t="n">
        <v>1</v>
      </c>
      <c r="V10" s="2" t="inlineStr">
        <is>
          <t>Brunlångöra
Nordfladdermus
Gråskimlig fladdermus</t>
        </is>
      </c>
      <c r="W10">
        <f>HYPERLINK("https://klasma.github.io/Logging_0563/artfynd/A 22312-2022 artfynd.xlsx", "A 22312-2022")</f>
        <v/>
      </c>
      <c r="X10">
        <f>HYPERLINK("https://klasma.github.io/Logging_0563/kartor/A 22312-2022 karta.png", "A 22312-2022")</f>
        <v/>
      </c>
      <c r="Y10">
        <f>HYPERLINK("https://klasma.github.io/Logging_0563/kartor_geotiff/A 22312-2022 georefererad karta.tif", "A 22312-2022")</f>
        <v/>
      </c>
      <c r="AA10">
        <f>HYPERLINK("https://klasma.github.io/Logging_0563/klagomål/A 22312-2022 FSC-klagomål.docx", "A 22312-2022")</f>
        <v/>
      </c>
      <c r="AB10">
        <f>HYPERLINK("https://klasma.github.io/Logging_0563/klagomålsmail/A 22312-2022 FSC-klagomål mail.docx", "A 22312-2022")</f>
        <v/>
      </c>
      <c r="AC10">
        <f>HYPERLINK("https://klasma.github.io/Logging_0563/tillsyn/A 22312-2022 tillsynsbegäran.docx", "A 22312-2022")</f>
        <v/>
      </c>
      <c r="AD10">
        <f>HYPERLINK("https://klasma.github.io/Logging_0563/tillsynsmail/A 22312-2022 tillsynsbegäran mail.docx", "A 22312-2022")</f>
        <v/>
      </c>
    </row>
    <row r="11" ht="15" customHeight="1">
      <c r="A11" t="inlineStr">
        <is>
          <t>A 61436-2022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44916</v>
      </c>
      <c r="E11" s="1" t="n">
        <v>46322</v>
      </c>
      <c r="F11" t="inlineStr">
        <is>
          <t>ÖSTERGÖTLANDS LÄN</t>
        </is>
      </c>
      <c r="G11" t="inlineStr">
        <is>
          <t>VALDEMARSVIK</t>
        </is>
      </c>
      <c r="I11" t="n">
        <v>1.9</v>
      </c>
      <c r="J11" t="n">
        <v>2</v>
      </c>
      <c r="K11" t="n">
        <v>1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t="n">
        <v>0</v>
      </c>
      <c r="S11" t="n">
        <v>3</v>
      </c>
      <c r="T11" t="n">
        <v>3</v>
      </c>
      <c r="U11" t="n">
        <v>2</v>
      </c>
      <c r="V11" s="2" t="inlineStr">
        <is>
          <t>Tibast
Nattskärra
Havsörn</t>
        </is>
      </c>
      <c r="W11">
        <f>HYPERLINK("https://klasma.github.io/Logging_0563/artfynd/A 61436-2022 artfynd.xlsx", "A 61436-2022")</f>
        <v/>
      </c>
      <c r="X11">
        <f>HYPERLINK("https://klasma.github.io/Logging_0563/kartor/A 61436-2022 karta.png", "A 61436-2022")</f>
        <v/>
      </c>
      <c r="Y11">
        <f>HYPERLINK("https://klasma.github.io/Logging_0563/kartor_geotiff/A 61436-2022 georefererad karta.tif", "A 61436-2022")</f>
        <v/>
      </c>
      <c r="AA11">
        <f>HYPERLINK("https://klasma.github.io/Logging_0563/klagomål/A 61436-2022 FSC-klagomål.docx", "A 61436-2022")</f>
        <v/>
      </c>
      <c r="AB11">
        <f>HYPERLINK("https://klasma.github.io/Logging_0563/klagomålsmail/A 61436-2022 FSC-klagomål mail.docx", "A 61436-2022")</f>
        <v/>
      </c>
      <c r="AC11">
        <f>HYPERLINK("https://klasma.github.io/Logging_0563/tillsyn/A 61436-2022 tillsynsbegäran.docx", "A 61436-2022")</f>
        <v/>
      </c>
      <c r="AD11">
        <f>HYPERLINK("https://klasma.github.io/Logging_0563/tillsynsmail/A 61436-2022 tillsynsbegäran mail.docx", "A 61436-2022")</f>
        <v/>
      </c>
      <c r="AE11">
        <f>HYPERLINK("https://klasma.github.io/Logging_0563/fåglar/A 61436-2022 prioriterade fågelarter.docx", "A 61436-2022")</f>
        <v/>
      </c>
    </row>
    <row r="12" ht="15" customHeight="1">
      <c r="A12" t="inlineStr">
        <is>
          <t>A 34616-2026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46255</v>
      </c>
      <c r="E12" s="1" t="n">
        <v>46322</v>
      </c>
      <c r="F12" t="inlineStr">
        <is>
          <t>ÖSTERGÖTLANDS LÄN</t>
        </is>
      </c>
      <c r="G12" t="inlineStr">
        <is>
          <t>VALDEMARSVIK</t>
        </is>
      </c>
      <c r="I12" t="n">
        <v>2.9</v>
      </c>
      <c r="J12" t="n">
        <v>2</v>
      </c>
      <c r="K12" t="n">
        <v>0</v>
      </c>
      <c r="L12" t="n">
        <v>1</v>
      </c>
      <c r="M12" t="n">
        <v>1</v>
      </c>
      <c r="N12" t="n">
        <v>0</v>
      </c>
      <c r="O12" t="n">
        <v>0</v>
      </c>
      <c r="P12" t="n">
        <v>0</v>
      </c>
      <c r="Q12" t="n">
        <v>2</v>
      </c>
      <c r="R12" t="n">
        <v>1</v>
      </c>
      <c r="S12" t="n">
        <v>3</v>
      </c>
      <c r="T12" t="n">
        <v>3</v>
      </c>
      <c r="U12" t="n">
        <v>3</v>
      </c>
      <c r="V12" s="2" t="inlineStr">
        <is>
          <t>Lateritticka
Talltita
Revlummer</t>
        </is>
      </c>
      <c r="W12">
        <f>HYPERLINK("https://klasma.github.io/Logging_0563/artfynd/A 34616-2026 artfynd.xlsx", "A 34616-2026")</f>
        <v/>
      </c>
      <c r="X12">
        <f>HYPERLINK("https://klasma.github.io/Logging_0563/kartor/A 34616-2026 karta.png", "A 34616-2026")</f>
        <v/>
      </c>
      <c r="Y12">
        <f>HYPERLINK("https://klasma.github.io/Logging_0563/kartor_geotiff/A 34616-2026 georefererad karta.tif", "A 34616-2026")</f>
        <v/>
      </c>
      <c r="AA12">
        <f>HYPERLINK("https://klasma.github.io/Logging_0563/klagomål/A 34616-2026 FSC-klagomål.docx", "A 34616-2026")</f>
        <v/>
      </c>
      <c r="AB12">
        <f>HYPERLINK("https://klasma.github.io/Logging_0563/klagomålsmail/A 34616-2026 FSC-klagomål mail.docx", "A 34616-2026")</f>
        <v/>
      </c>
      <c r="AC12">
        <f>HYPERLINK("https://klasma.github.io/Logging_0563/tillsyn/A 34616-2026 tillsynsbegäran.docx", "A 34616-2026")</f>
        <v/>
      </c>
      <c r="AD12">
        <f>HYPERLINK("https://klasma.github.io/Logging_0563/tillsynsmail/A 34616-2026 tillsynsbegäran mail.docx", "A 34616-2026")</f>
        <v/>
      </c>
      <c r="AE12">
        <f>HYPERLINK("https://klasma.github.io/Logging_0563/fåglar/A 34616-2026 prioriterade fågelarter.docx", "A 34616-2026")</f>
        <v/>
      </c>
    </row>
    <row r="13" ht="15" customHeight="1">
      <c r="A13" t="inlineStr">
        <is>
          <t>A 22311-2022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44712</v>
      </c>
      <c r="E13" s="1" t="n">
        <v>46322</v>
      </c>
      <c r="F13" t="inlineStr">
        <is>
          <t>ÖSTERGÖTLANDS LÄN</t>
        </is>
      </c>
      <c r="G13" t="inlineStr">
        <is>
          <t>VALDEMARSVIK</t>
        </is>
      </c>
      <c r="I13" t="n">
        <v>0.3</v>
      </c>
      <c r="J13" t="n">
        <v>0</v>
      </c>
      <c r="K13" t="n">
        <v>0</v>
      </c>
      <c r="L13" t="n">
        <v>2</v>
      </c>
      <c r="M13" t="n">
        <v>0</v>
      </c>
      <c r="N13" t="n">
        <v>0</v>
      </c>
      <c r="O13" t="n">
        <v>0</v>
      </c>
      <c r="P13" t="n">
        <v>0</v>
      </c>
      <c r="Q13" t="n">
        <v>2</v>
      </c>
      <c r="R13" t="n">
        <v>0</v>
      </c>
      <c r="S13" t="n">
        <v>2</v>
      </c>
      <c r="T13" t="n">
        <v>2</v>
      </c>
      <c r="U13" t="n">
        <v>2</v>
      </c>
      <c r="V13" s="2" t="inlineStr">
        <is>
          <t>Gullklöver
Jungfrulin</t>
        </is>
      </c>
      <c r="W13">
        <f>HYPERLINK("https://klasma.github.io/Logging_0563/artfynd/A 22311-2022 artfynd.xlsx", "A 22311-2022")</f>
        <v/>
      </c>
      <c r="X13">
        <f>HYPERLINK("https://klasma.github.io/Logging_0563/kartor/A 22311-2022 karta.png", "A 22311-2022")</f>
        <v/>
      </c>
      <c r="Y13">
        <f>HYPERLINK("https://klasma.github.io/Logging_0563/kartor_geotiff/A 22311-2022 georefererad karta.tif", "A 22311-2022")</f>
        <v/>
      </c>
      <c r="AA13">
        <f>HYPERLINK("https://klasma.github.io/Logging_0563/klagomål/A 22311-2022 FSC-klagomål.docx", "A 22311-2022")</f>
        <v/>
      </c>
      <c r="AB13">
        <f>HYPERLINK("https://klasma.github.io/Logging_0563/klagomålsmail/A 22311-2022 FSC-klagomål mail.docx", "A 22311-2022")</f>
        <v/>
      </c>
      <c r="AC13">
        <f>HYPERLINK("https://klasma.github.io/Logging_0563/tillsyn/A 22311-2022 tillsynsbegäran.docx", "A 22311-2022")</f>
        <v/>
      </c>
      <c r="AD13">
        <f>HYPERLINK("https://klasma.github.io/Logging_0563/tillsynsmail/A 22311-2022 tillsynsbegäran mail.docx", "A 22311-2022")</f>
        <v/>
      </c>
    </row>
    <row r="14" ht="15" customHeight="1">
      <c r="A14" t="inlineStr">
        <is>
          <t>A 31168-2022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44770</v>
      </c>
      <c r="E14" s="1" t="n">
        <v>46322</v>
      </c>
      <c r="F14" t="inlineStr">
        <is>
          <t>ÖSTERGÖTLANDS LÄN</t>
        </is>
      </c>
      <c r="G14" t="inlineStr">
        <is>
          <t>VALDEMARSVIK</t>
        </is>
      </c>
      <c r="I14" t="n">
        <v>1.7</v>
      </c>
      <c r="J14" t="n">
        <v>0</v>
      </c>
      <c r="K14" t="n">
        <v>0</v>
      </c>
      <c r="L14" t="n">
        <v>0</v>
      </c>
      <c r="M14" t="n">
        <v>0</v>
      </c>
      <c r="N14" t="n">
        <v>1</v>
      </c>
      <c r="O14" t="n">
        <v>0</v>
      </c>
      <c r="P14" t="n">
        <v>0</v>
      </c>
      <c r="Q14" t="n">
        <v>1</v>
      </c>
      <c r="R14" t="n">
        <v>1</v>
      </c>
      <c r="S14" t="n">
        <v>1</v>
      </c>
      <c r="T14" t="n">
        <v>2</v>
      </c>
      <c r="U14" t="n">
        <v>0</v>
      </c>
      <c r="V14" s="2" t="inlineStr">
        <is>
          <t>Skogsalm</t>
        </is>
      </c>
      <c r="W14">
        <f>HYPERLINK("https://klasma.github.io/Logging_0563/artfynd/A 31168-2022 artfynd.xlsx", "A 31168-2022")</f>
        <v/>
      </c>
      <c r="X14">
        <f>HYPERLINK("https://klasma.github.io/Logging_0563/kartor/A 31168-2022 karta.png", "A 31168-2022")</f>
        <v/>
      </c>
      <c r="Y14">
        <f>HYPERLINK("https://klasma.github.io/Logging_0563/kartor_geotiff/A 31168-2022 georefererad karta.tif", "A 31168-2022")</f>
        <v/>
      </c>
      <c r="AA14">
        <f>HYPERLINK("https://klasma.github.io/Logging_0563/klagomål/A 31168-2022 FSC-klagomål.docx", "A 31168-2022")</f>
        <v/>
      </c>
      <c r="AB14">
        <f>HYPERLINK("https://klasma.github.io/Logging_0563/klagomålsmail/A 31168-2022 FSC-klagomål mail.docx", "A 31168-2022")</f>
        <v/>
      </c>
      <c r="AC14">
        <f>HYPERLINK("https://klasma.github.io/Logging_0563/tillsyn/A 31168-2022 tillsynsbegäran.docx", "A 31168-2022")</f>
        <v/>
      </c>
      <c r="AD14">
        <f>HYPERLINK("https://klasma.github.io/Logging_0563/tillsynsmail/A 31168-2022 tillsynsbegäran mail.docx", "A 31168-2022")</f>
        <v/>
      </c>
    </row>
    <row r="15" ht="15" customHeight="1">
      <c r="A15" t="inlineStr">
        <is>
          <t>A 1543-2022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44573</v>
      </c>
      <c r="E15" s="1" t="n">
        <v>46322</v>
      </c>
      <c r="F15" t="inlineStr">
        <is>
          <t>ÖSTERGÖTLANDS LÄN</t>
        </is>
      </c>
      <c r="G15" t="inlineStr">
        <is>
          <t>VALDEMARSVIK</t>
        </is>
      </c>
      <c r="I15" t="n">
        <v>6.5</v>
      </c>
      <c r="J15" t="n">
        <v>1</v>
      </c>
      <c r="K15" t="n">
        <v>0</v>
      </c>
      <c r="L15" t="n">
        <v>0</v>
      </c>
      <c r="M15" t="n">
        <v>1</v>
      </c>
      <c r="N15" t="n">
        <v>0</v>
      </c>
      <c r="O15" t="n">
        <v>0</v>
      </c>
      <c r="P15" t="n">
        <v>0</v>
      </c>
      <c r="Q15" t="n">
        <v>1</v>
      </c>
      <c r="R15" t="n">
        <v>1</v>
      </c>
      <c r="S15" t="n">
        <v>1</v>
      </c>
      <c r="T15" t="n">
        <v>1</v>
      </c>
      <c r="U15" t="n">
        <v>1</v>
      </c>
      <c r="V15" s="2" t="inlineStr">
        <is>
          <t>Hasselsnok</t>
        </is>
      </c>
      <c r="W15">
        <f>HYPERLINK("https://klasma.github.io/Logging_0563/artfynd/A 1543-2022 artfynd.xlsx", "A 1543-2022")</f>
        <v/>
      </c>
      <c r="X15">
        <f>HYPERLINK("https://klasma.github.io/Logging_0563/kartor/A 1543-2022 karta.png", "A 1543-2022")</f>
        <v/>
      </c>
      <c r="Y15">
        <f>HYPERLINK("https://klasma.github.io/Logging_0563/kartor_geotiff/A 1543-2022 georefererad karta.tif", "A 1543-2022")</f>
        <v/>
      </c>
      <c r="AA15">
        <f>HYPERLINK("https://klasma.github.io/Logging_0563/klagomål/A 1543-2022 FSC-klagomål.docx", "A 1543-2022")</f>
        <v/>
      </c>
      <c r="AB15">
        <f>HYPERLINK("https://klasma.github.io/Logging_0563/klagomålsmail/A 1543-2022 FSC-klagomål mail.docx", "A 1543-2022")</f>
        <v/>
      </c>
      <c r="AC15">
        <f>HYPERLINK("https://klasma.github.io/Logging_0563/tillsyn/A 1543-2022 tillsynsbegäran.docx", "A 1543-2022")</f>
        <v/>
      </c>
      <c r="AD15">
        <f>HYPERLINK("https://klasma.github.io/Logging_0563/tillsynsmail/A 1543-2022 tillsynsbegäran mail.docx", "A 1543-2022")</f>
        <v/>
      </c>
    </row>
    <row r="16" ht="15" customHeight="1">
      <c r="A16" t="inlineStr">
        <is>
          <t>A 23067-2025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45790</v>
      </c>
      <c r="E16" s="1" t="n">
        <v>46322</v>
      </c>
      <c r="F16" t="inlineStr">
        <is>
          <t>ÖSTERGÖTLANDS LÄN</t>
        </is>
      </c>
      <c r="G16" t="inlineStr">
        <is>
          <t>VALDEMARSVIK</t>
        </is>
      </c>
      <c r="I16" t="n">
        <v>1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t="n">
        <v>0</v>
      </c>
      <c r="S16" t="n">
        <v>1</v>
      </c>
      <c r="T16" t="n">
        <v>1</v>
      </c>
      <c r="U16" t="n">
        <v>1</v>
      </c>
      <c r="V16" s="2" t="inlineStr">
        <is>
          <t>Spillkråka</t>
        </is>
      </c>
      <c r="W16">
        <f>HYPERLINK("https://klasma.github.io/Logging_0563/artfynd/A 23067-2025 artfynd.xlsx", "A 23067-2025")</f>
        <v/>
      </c>
      <c r="X16">
        <f>HYPERLINK("https://klasma.github.io/Logging_0563/kartor/A 23067-2025 karta.png", "A 23067-2025")</f>
        <v/>
      </c>
      <c r="Y16">
        <f>HYPERLINK("https://klasma.github.io/Logging_0563/kartor_geotiff/A 23067-2025 georefererad karta.tif", "A 23067-2025")</f>
        <v/>
      </c>
      <c r="AA16">
        <f>HYPERLINK("https://klasma.github.io/Logging_0563/klagomål/A 23067-2025 FSC-klagomål.docx", "A 23067-2025")</f>
        <v/>
      </c>
      <c r="AB16">
        <f>HYPERLINK("https://klasma.github.io/Logging_0563/klagomålsmail/A 23067-2025 FSC-klagomål mail.docx", "A 23067-2025")</f>
        <v/>
      </c>
      <c r="AC16">
        <f>HYPERLINK("https://klasma.github.io/Logging_0563/tillsyn/A 23067-2025 tillsynsbegäran.docx", "A 23067-2025")</f>
        <v/>
      </c>
      <c r="AD16">
        <f>HYPERLINK("https://klasma.github.io/Logging_0563/tillsynsmail/A 23067-2025 tillsynsbegäran mail.docx", "A 23067-2025")</f>
        <v/>
      </c>
      <c r="AE16">
        <f>HYPERLINK("https://klasma.github.io/Logging_0563/fåglar/A 23067-2025 prioriterade fågelarter.docx", "A 23067-2025")</f>
        <v/>
      </c>
    </row>
    <row r="17" ht="15" customHeight="1">
      <c r="A17" t="inlineStr">
        <is>
          <t>A 4148-2024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45323</v>
      </c>
      <c r="E17" s="1" t="n">
        <v>46322</v>
      </c>
      <c r="F17" t="inlineStr">
        <is>
          <t>ÖSTERGÖTLANDS LÄN</t>
        </is>
      </c>
      <c r="G17" t="inlineStr">
        <is>
          <t>VALDEMARSVIK</t>
        </is>
      </c>
      <c r="I17" t="n">
        <v>2.4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t="n">
        <v>0</v>
      </c>
      <c r="S17" t="n">
        <v>1</v>
      </c>
      <c r="T17" t="n">
        <v>1</v>
      </c>
      <c r="U17" t="n">
        <v>1</v>
      </c>
      <c r="V17" s="2" t="inlineStr">
        <is>
          <t>Gullviva</t>
        </is>
      </c>
      <c r="W17">
        <f>HYPERLINK("https://klasma.github.io/Logging_0563/artfynd/A 4148-2024 artfynd.xlsx", "A 4148-2024")</f>
        <v/>
      </c>
      <c r="X17">
        <f>HYPERLINK("https://klasma.github.io/Logging_0563/kartor/A 4148-2024 karta.png", "A 4148-2024")</f>
        <v/>
      </c>
      <c r="Y17">
        <f>HYPERLINK("https://klasma.github.io/Logging_0563/kartor_geotiff/A 4148-2024 georefererad karta.tif", "A 4148-2024")</f>
        <v/>
      </c>
      <c r="AA17">
        <f>HYPERLINK("https://klasma.github.io/Logging_0563/klagomål/A 4148-2024 FSC-klagomål.docx", "A 4148-2024")</f>
        <v/>
      </c>
      <c r="AB17">
        <f>HYPERLINK("https://klasma.github.io/Logging_0563/klagomålsmail/A 4148-2024 FSC-klagomål mail.docx", "A 4148-2024")</f>
        <v/>
      </c>
      <c r="AC17">
        <f>HYPERLINK("https://klasma.github.io/Logging_0563/tillsyn/A 4148-2024 tillsynsbegäran.docx", "A 4148-2024")</f>
        <v/>
      </c>
      <c r="AD17">
        <f>HYPERLINK("https://klasma.github.io/Logging_0563/tillsynsmail/A 4148-2024 tillsynsbegäran mail.docx", "A 4148-2024")</f>
        <v/>
      </c>
    </row>
    <row r="18" ht="15" customHeight="1">
      <c r="A18" t="inlineStr">
        <is>
          <t>A 5414-2024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45331</v>
      </c>
      <c r="E18" s="1" t="n">
        <v>46322</v>
      </c>
      <c r="F18" t="inlineStr">
        <is>
          <t>ÖSTERGÖTLANDS LÄN</t>
        </is>
      </c>
      <c r="G18" t="inlineStr">
        <is>
          <t>VALDEMARSVIK</t>
        </is>
      </c>
      <c r="I18" t="n">
        <v>1.8</v>
      </c>
      <c r="J18" t="n">
        <v>0</v>
      </c>
      <c r="K18" t="n">
        <v>0</v>
      </c>
      <c r="L18" t="n">
        <v>1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t="n">
        <v>0</v>
      </c>
      <c r="S18" t="n">
        <v>1</v>
      </c>
      <c r="T18" t="n">
        <v>1</v>
      </c>
      <c r="U18" t="n">
        <v>1</v>
      </c>
      <c r="V18" s="2" t="inlineStr">
        <is>
          <t>Tallticka</t>
        </is>
      </c>
      <c r="W18">
        <f>HYPERLINK("https://klasma.github.io/Logging_0563/artfynd/A 5414-2024 artfynd.xlsx", "A 5414-2024")</f>
        <v/>
      </c>
      <c r="X18">
        <f>HYPERLINK("https://klasma.github.io/Logging_0563/kartor/A 5414-2024 karta.png", "A 5414-2024")</f>
        <v/>
      </c>
      <c r="Y18">
        <f>HYPERLINK("https://klasma.github.io/Logging_0563/kartor_geotiff/A 5414-2024 georefererad karta.tif", "A 5414-2024")</f>
        <v/>
      </c>
      <c r="AA18">
        <f>HYPERLINK("https://klasma.github.io/Logging_0563/klagomål/A 5414-2024 FSC-klagomål.docx", "A 5414-2024")</f>
        <v/>
      </c>
      <c r="AB18">
        <f>HYPERLINK("https://klasma.github.io/Logging_0563/klagomålsmail/A 5414-2024 FSC-klagomål mail.docx", "A 5414-2024")</f>
        <v/>
      </c>
      <c r="AC18">
        <f>HYPERLINK("https://klasma.github.io/Logging_0563/tillsyn/A 5414-2024 tillsynsbegäran.docx", "A 5414-2024")</f>
        <v/>
      </c>
      <c r="AD18">
        <f>HYPERLINK("https://klasma.github.io/Logging_0563/tillsynsmail/A 5414-2024 tillsynsbegäran mail.docx", "A 5414-2024")</f>
        <v/>
      </c>
    </row>
    <row r="19" ht="15" customHeight="1">
      <c r="A19" t="inlineStr">
        <is>
          <t>A 11749-2023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44994</v>
      </c>
      <c r="E19" s="1" t="n">
        <v>46322</v>
      </c>
      <c r="F19" t="inlineStr">
        <is>
          <t>ÖSTERGÖTLANDS LÄN</t>
        </is>
      </c>
      <c r="G19" t="inlineStr">
        <is>
          <t>VALDEMARSVIK</t>
        </is>
      </c>
      <c r="I19" t="n">
        <v>2.4</v>
      </c>
      <c r="J19" t="n">
        <v>1</v>
      </c>
      <c r="K19" t="n">
        <v>0</v>
      </c>
      <c r="L19" t="n">
        <v>1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t="n">
        <v>0</v>
      </c>
      <c r="S19" t="n">
        <v>1</v>
      </c>
      <c r="T19" t="n">
        <v>1</v>
      </c>
      <c r="U19" t="n">
        <v>1</v>
      </c>
      <c r="V19" s="2" t="inlineStr">
        <is>
          <t>Adam och eva</t>
        </is>
      </c>
      <c r="W19">
        <f>HYPERLINK("https://klasma.github.io/Logging_0563/artfynd/A 11749-2023 artfynd.xlsx", "A 11749-2023")</f>
        <v/>
      </c>
      <c r="X19">
        <f>HYPERLINK("https://klasma.github.io/Logging_0563/kartor/A 11749-2023 karta.png", "A 11749-2023")</f>
        <v/>
      </c>
      <c r="Y19">
        <f>HYPERLINK("https://klasma.github.io/Logging_0563/kartor_geotiff/A 11749-2023 georefererad karta.tif", "A 11749-2023")</f>
        <v/>
      </c>
      <c r="AA19">
        <f>HYPERLINK("https://klasma.github.io/Logging_0563/klagomål/A 11749-2023 FSC-klagomål.docx", "A 11749-2023")</f>
        <v/>
      </c>
      <c r="AB19">
        <f>HYPERLINK("https://klasma.github.io/Logging_0563/klagomålsmail/A 11749-2023 FSC-klagomål mail.docx", "A 11749-2023")</f>
        <v/>
      </c>
      <c r="AC19">
        <f>HYPERLINK("https://klasma.github.io/Logging_0563/tillsyn/A 11749-2023 tillsynsbegäran.docx", "A 11749-2023")</f>
        <v/>
      </c>
      <c r="AD19">
        <f>HYPERLINK("https://klasma.github.io/Logging_0563/tillsynsmail/A 11749-2023 tillsynsbegäran mail.docx", "A 11749-2023")</f>
        <v/>
      </c>
    </row>
    <row r="20" ht="15" customHeight="1">
      <c r="A20" t="inlineStr">
        <is>
          <t>A 18758-2023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45043</v>
      </c>
      <c r="E20" s="1" t="n">
        <v>46322</v>
      </c>
      <c r="F20" t="inlineStr">
        <is>
          <t>ÖSTERGÖTLANDS LÄN</t>
        </is>
      </c>
      <c r="G20" t="inlineStr">
        <is>
          <t>VALDEMARSVIK</t>
        </is>
      </c>
      <c r="I20" t="n">
        <v>2.9</v>
      </c>
      <c r="J20" t="n">
        <v>1</v>
      </c>
      <c r="K20" t="n">
        <v>0</v>
      </c>
      <c r="L20" t="n">
        <v>0</v>
      </c>
      <c r="M20" t="n">
        <v>1</v>
      </c>
      <c r="N20" t="n">
        <v>0</v>
      </c>
      <c r="O20" t="n">
        <v>0</v>
      </c>
      <c r="P20" t="n">
        <v>0</v>
      </c>
      <c r="Q20" t="n">
        <v>1</v>
      </c>
      <c r="R20" t="n">
        <v>1</v>
      </c>
      <c r="S20" t="n">
        <v>1</v>
      </c>
      <c r="T20" t="n">
        <v>1</v>
      </c>
      <c r="U20" t="n">
        <v>1</v>
      </c>
      <c r="V20" s="2" t="inlineStr">
        <is>
          <t>Knärot</t>
        </is>
      </c>
      <c r="W20">
        <f>HYPERLINK("https://klasma.github.io/Logging_0563/artfynd/A 18758-2023 artfynd.xlsx", "A 18758-2023")</f>
        <v/>
      </c>
      <c r="X20">
        <f>HYPERLINK("https://klasma.github.io/Logging_0563/kartor/A 18758-2023 karta.png", "A 18758-2023")</f>
        <v/>
      </c>
      <c r="Y20">
        <f>HYPERLINK("https://klasma.github.io/Logging_0563/kartor_geotiff/A 18758-2023 georefererad karta.tif", "A 18758-2023")</f>
        <v/>
      </c>
      <c r="Z20">
        <f>HYPERLINK("https://klasma.github.io/Logging_0563/knärot/A 18758-2023 karta knärot.png", "A 18758-2023")</f>
        <v/>
      </c>
      <c r="AA20">
        <f>HYPERLINK("https://klasma.github.io/Logging_0563/klagomål/A 18758-2023 FSC-klagomål.docx", "A 18758-2023")</f>
        <v/>
      </c>
      <c r="AB20">
        <f>HYPERLINK("https://klasma.github.io/Logging_0563/klagomålsmail/A 18758-2023 FSC-klagomål mail.docx", "A 18758-2023")</f>
        <v/>
      </c>
      <c r="AC20">
        <f>HYPERLINK("https://klasma.github.io/Logging_0563/tillsyn/A 18758-2023 tillsynsbegäran.docx", "A 18758-2023")</f>
        <v/>
      </c>
      <c r="AD20">
        <f>HYPERLINK("https://klasma.github.io/Logging_0563/tillsynsmail/A 18758-2023 tillsynsbegäran mail.docx", "A 18758-2023")</f>
        <v/>
      </c>
    </row>
    <row r="21" ht="15" customHeight="1">
      <c r="A21" t="inlineStr">
        <is>
          <t>A 40874-2023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45173</v>
      </c>
      <c r="E21" s="1" t="n">
        <v>46322</v>
      </c>
      <c r="F21" t="inlineStr">
        <is>
          <t>ÖSTERGÖTLANDS LÄN</t>
        </is>
      </c>
      <c r="G21" t="inlineStr">
        <is>
          <t>VALDEMARSVIK</t>
        </is>
      </c>
      <c r="I21" t="n">
        <v>1.5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t="n">
        <v>0</v>
      </c>
      <c r="S21" t="n">
        <v>1</v>
      </c>
      <c r="T21" t="n">
        <v>1</v>
      </c>
      <c r="U21" t="n">
        <v>1</v>
      </c>
      <c r="V21" s="2" t="inlineStr">
        <is>
          <t>Lopplummer (aggregat)</t>
        </is>
      </c>
      <c r="W21">
        <f>HYPERLINK("https://klasma.github.io/Logging_0563/artfynd/A 40874-2023 artfynd.xlsx", "A 40874-2023")</f>
        <v/>
      </c>
      <c r="X21">
        <f>HYPERLINK("https://klasma.github.io/Logging_0563/kartor/A 40874-2023 karta.png", "A 40874-2023")</f>
        <v/>
      </c>
      <c r="Y21">
        <f>HYPERLINK("https://klasma.github.io/Logging_0563/kartor_geotiff/A 40874-2023 georefererad karta.tif", "A 40874-2023")</f>
        <v/>
      </c>
      <c r="AA21">
        <f>HYPERLINK("https://klasma.github.io/Logging_0563/klagomål/A 40874-2023 FSC-klagomål.docx", "A 40874-2023")</f>
        <v/>
      </c>
      <c r="AB21">
        <f>HYPERLINK("https://klasma.github.io/Logging_0563/klagomålsmail/A 40874-2023 FSC-klagomål mail.docx", "A 40874-2023")</f>
        <v/>
      </c>
      <c r="AC21">
        <f>HYPERLINK("https://klasma.github.io/Logging_0563/tillsyn/A 40874-2023 tillsynsbegäran.docx", "A 40874-2023")</f>
        <v/>
      </c>
      <c r="AD21">
        <f>HYPERLINK("https://klasma.github.io/Logging_0563/tillsynsmail/A 40874-2023 tillsynsbegäran mail.docx", "A 40874-2023")</f>
        <v/>
      </c>
    </row>
    <row r="22" ht="15" customHeight="1">
      <c r="A22" t="inlineStr">
        <is>
          <t>A 4051-2023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44952</v>
      </c>
      <c r="E22" s="1" t="n">
        <v>46322</v>
      </c>
      <c r="F22" t="inlineStr">
        <is>
          <t>ÖSTERGÖTLANDS LÄN</t>
        </is>
      </c>
      <c r="G22" t="inlineStr">
        <is>
          <t>VALDEMARSVIK</t>
        </is>
      </c>
      <c r="I22" t="n">
        <v>2.5</v>
      </c>
      <c r="J22" t="n">
        <v>0</v>
      </c>
      <c r="K22" t="n">
        <v>0</v>
      </c>
      <c r="L22" t="n">
        <v>1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t="n">
        <v>0</v>
      </c>
      <c r="S22" t="n">
        <v>1</v>
      </c>
      <c r="T22" t="n">
        <v>1</v>
      </c>
      <c r="U22" t="n">
        <v>0</v>
      </c>
      <c r="V22" s="2" t="inlineStr">
        <is>
          <t>Skogsklocka</t>
        </is>
      </c>
      <c r="W22">
        <f>HYPERLINK("https://klasma.github.io/Logging_0563/artfynd/A 4051-2023 artfynd.xlsx", "A 4051-2023")</f>
        <v/>
      </c>
      <c r="X22">
        <f>HYPERLINK("https://klasma.github.io/Logging_0563/kartor/A 4051-2023 karta.png", "A 4051-2023")</f>
        <v/>
      </c>
      <c r="Y22">
        <f>HYPERLINK("https://klasma.github.io/Logging_0563/kartor_geotiff/A 4051-2023 georefererad karta.tif", "A 4051-2023")</f>
        <v/>
      </c>
      <c r="AA22">
        <f>HYPERLINK("https://klasma.github.io/Logging_0563/klagomål/A 4051-2023 FSC-klagomål.docx", "A 4051-2023")</f>
        <v/>
      </c>
      <c r="AB22">
        <f>HYPERLINK("https://klasma.github.io/Logging_0563/klagomålsmail/A 4051-2023 FSC-klagomål mail.docx", "A 4051-2023")</f>
        <v/>
      </c>
      <c r="AC22">
        <f>HYPERLINK("https://klasma.github.io/Logging_0563/tillsyn/A 4051-2023 tillsynsbegäran.docx", "A 4051-2023")</f>
        <v/>
      </c>
      <c r="AD22">
        <f>HYPERLINK("https://klasma.github.io/Logging_0563/tillsynsmail/A 4051-2023 tillsynsbegäran mail.docx", "A 4051-2023")</f>
        <v/>
      </c>
    </row>
    <row r="23" ht="15" customHeight="1">
      <c r="A23" t="inlineStr">
        <is>
          <t>A 8718-2022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44613</v>
      </c>
      <c r="E23" s="1" t="n">
        <v>46322</v>
      </c>
      <c r="F23" t="inlineStr">
        <is>
          <t>ÖSTERGÖTLANDS LÄN</t>
        </is>
      </c>
      <c r="G23" t="inlineStr">
        <is>
          <t>VALDEMARSVIK</t>
        </is>
      </c>
      <c r="I23" t="n">
        <v>0.9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t="n">
        <v>0</v>
      </c>
      <c r="S23" t="n">
        <v>0</v>
      </c>
      <c r="T23" t="n">
        <v>0</v>
      </c>
      <c r="U23" t="n">
        <v>0</v>
      </c>
      <c r="V23" s="2" t="inlineStr"/>
    </row>
    <row r="24" ht="15" customHeight="1">
      <c r="A24" t="inlineStr">
        <is>
          <t>A 29011-2022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44749</v>
      </c>
      <c r="E24" s="1" t="n">
        <v>46322</v>
      </c>
      <c r="F24" t="inlineStr">
        <is>
          <t>ÖSTERGÖTLANDS LÄN</t>
        </is>
      </c>
      <c r="G24" t="inlineStr">
        <is>
          <t>VALDEMARSVIK</t>
        </is>
      </c>
      <c r="I24" t="n">
        <v>7.2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t="n">
        <v>0</v>
      </c>
      <c r="S24" t="n">
        <v>0</v>
      </c>
      <c r="T24" t="n">
        <v>0</v>
      </c>
      <c r="U24" t="n">
        <v>0</v>
      </c>
      <c r="V24" s="2" t="inlineStr"/>
    </row>
    <row r="25" ht="15" customHeight="1">
      <c r="A25" t="inlineStr">
        <is>
          <t>A 51436-2022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44869</v>
      </c>
      <c r="E25" s="1" t="n">
        <v>46322</v>
      </c>
      <c r="F25" t="inlineStr">
        <is>
          <t>ÖSTERGÖTLANDS LÄN</t>
        </is>
      </c>
      <c r="G25" t="inlineStr">
        <is>
          <t>VALDEMARSVIK</t>
        </is>
      </c>
      <c r="I25" t="n">
        <v>0.5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t="n">
        <v>0</v>
      </c>
      <c r="S25" t="n">
        <v>0</v>
      </c>
      <c r="T25" t="n">
        <v>0</v>
      </c>
      <c r="U25" t="n">
        <v>0</v>
      </c>
      <c r="V25" s="2" t="inlineStr"/>
    </row>
    <row r="26" ht="15" customHeight="1">
      <c r="A26" t="inlineStr">
        <is>
          <t>A 47632-2022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44852</v>
      </c>
      <c r="E26" s="1" t="n">
        <v>46322</v>
      </c>
      <c r="F26" t="inlineStr">
        <is>
          <t>ÖSTERGÖTLANDS LÄN</t>
        </is>
      </c>
      <c r="G26" t="inlineStr">
        <is>
          <t>VALDEMARSVIK</t>
        </is>
      </c>
      <c r="I26" t="n">
        <v>4.8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t="n">
        <v>0</v>
      </c>
      <c r="S26" t="n">
        <v>0</v>
      </c>
      <c r="T26" t="n">
        <v>0</v>
      </c>
      <c r="U26" t="n">
        <v>0</v>
      </c>
      <c r="V26" s="2" t="inlineStr"/>
    </row>
    <row r="27" ht="15" customHeight="1">
      <c r="A27" t="inlineStr">
        <is>
          <t>A 18684-2022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44687</v>
      </c>
      <c r="E27" s="1" t="n">
        <v>46322</v>
      </c>
      <c r="F27" t="inlineStr">
        <is>
          <t>ÖSTERGÖTLANDS LÄN</t>
        </is>
      </c>
      <c r="G27" t="inlineStr">
        <is>
          <t>VALDEMARSVIK</t>
        </is>
      </c>
      <c r="I27" t="n">
        <v>0.7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t="n">
        <v>0</v>
      </c>
      <c r="S27" t="n">
        <v>0</v>
      </c>
      <c r="T27" t="n">
        <v>0</v>
      </c>
      <c r="U27" t="n">
        <v>0</v>
      </c>
      <c r="V27" s="2" t="inlineStr"/>
    </row>
    <row r="28" ht="15" customHeight="1">
      <c r="A28" t="inlineStr">
        <is>
          <t>A 70314-2021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44536</v>
      </c>
      <c r="E28" s="1" t="n">
        <v>46322</v>
      </c>
      <c r="F28" t="inlineStr">
        <is>
          <t>ÖSTERGÖTLANDS LÄN</t>
        </is>
      </c>
      <c r="G28" t="inlineStr">
        <is>
          <t>VALDEMARSVIK</t>
        </is>
      </c>
      <c r="I28" t="n">
        <v>3.5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t="n">
        <v>0</v>
      </c>
      <c r="S28" t="n">
        <v>0</v>
      </c>
      <c r="T28" t="n">
        <v>0</v>
      </c>
      <c r="U28" t="n">
        <v>0</v>
      </c>
      <c r="V28" s="2" t="inlineStr"/>
    </row>
    <row r="29" ht="15" customHeight="1">
      <c r="A29" t="inlineStr">
        <is>
          <t>A 8717-2022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44613</v>
      </c>
      <c r="E29" s="1" t="n">
        <v>46322</v>
      </c>
      <c r="F29" t="inlineStr">
        <is>
          <t>ÖSTERGÖTLANDS LÄN</t>
        </is>
      </c>
      <c r="G29" t="inlineStr">
        <is>
          <t>VALDEMARSVIK</t>
        </is>
      </c>
      <c r="I29" t="n">
        <v>2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t="n">
        <v>0</v>
      </c>
      <c r="S29" t="n">
        <v>0</v>
      </c>
      <c r="T29" t="n">
        <v>0</v>
      </c>
      <c r="U29" t="n">
        <v>0</v>
      </c>
      <c r="V29" s="2" t="inlineStr"/>
    </row>
    <row r="30" ht="15" customHeight="1">
      <c r="A30" t="inlineStr">
        <is>
          <t>A 69457-2021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44531</v>
      </c>
      <c r="E30" s="1" t="n">
        <v>46322</v>
      </c>
      <c r="F30" t="inlineStr">
        <is>
          <t>ÖSTERGÖTLANDS LÄN</t>
        </is>
      </c>
      <c r="G30" t="inlineStr">
        <is>
          <t>VALDEMARSVIK</t>
        </is>
      </c>
      <c r="I30" t="n">
        <v>1.1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t="n">
        <v>0</v>
      </c>
      <c r="S30" t="n">
        <v>0</v>
      </c>
      <c r="T30" t="n">
        <v>0</v>
      </c>
      <c r="U30" t="n">
        <v>0</v>
      </c>
      <c r="V30" s="2" t="inlineStr"/>
    </row>
    <row r="31" ht="15" customHeight="1">
      <c r="A31" t="inlineStr">
        <is>
          <t>A 7128-2022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44603</v>
      </c>
      <c r="E31" s="1" t="n">
        <v>46322</v>
      </c>
      <c r="F31" t="inlineStr">
        <is>
          <t>ÖSTERGÖTLANDS LÄN</t>
        </is>
      </c>
      <c r="G31" t="inlineStr">
        <is>
          <t>VALDEMARSVIK</t>
        </is>
      </c>
      <c r="I31" t="n">
        <v>2.2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t="n">
        <v>0</v>
      </c>
      <c r="S31" t="n">
        <v>0</v>
      </c>
      <c r="T31" t="n">
        <v>0</v>
      </c>
      <c r="U31" t="n">
        <v>0</v>
      </c>
      <c r="V31" s="2" t="inlineStr"/>
    </row>
    <row r="32" ht="15" customHeight="1">
      <c r="A32" t="inlineStr">
        <is>
          <t>A 69261-2021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44531</v>
      </c>
      <c r="E32" s="1" t="n">
        <v>46322</v>
      </c>
      <c r="F32" t="inlineStr">
        <is>
          <t>ÖSTERGÖTLANDS LÄN</t>
        </is>
      </c>
      <c r="G32" t="inlineStr">
        <is>
          <t>VALDEMARSVIK</t>
        </is>
      </c>
      <c r="I32" t="n">
        <v>1.1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t="n">
        <v>0</v>
      </c>
      <c r="S32" t="n">
        <v>0</v>
      </c>
      <c r="T32" t="n">
        <v>0</v>
      </c>
      <c r="U32" t="n">
        <v>0</v>
      </c>
      <c r="V32" s="2" t="inlineStr"/>
    </row>
    <row r="33" ht="15" customHeight="1">
      <c r="A33" t="inlineStr">
        <is>
          <t>A 54231-2022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44881</v>
      </c>
      <c r="E33" s="1" t="n">
        <v>46322</v>
      </c>
      <c r="F33" t="inlineStr">
        <is>
          <t>ÖSTERGÖTLANDS LÄN</t>
        </is>
      </c>
      <c r="G33" t="inlineStr">
        <is>
          <t>VALDEMARSVIK</t>
        </is>
      </c>
      <c r="I33" t="n">
        <v>0.6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t="n">
        <v>0</v>
      </c>
      <c r="S33" t="n">
        <v>0</v>
      </c>
      <c r="T33" t="n">
        <v>0</v>
      </c>
      <c r="U33" t="n">
        <v>0</v>
      </c>
      <c r="V33" s="2" t="inlineStr"/>
    </row>
    <row r="34" ht="15" customHeight="1">
      <c r="A34" t="inlineStr">
        <is>
          <t>A 8720-2022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44613</v>
      </c>
      <c r="E34" s="1" t="n">
        <v>46322</v>
      </c>
      <c r="F34" t="inlineStr">
        <is>
          <t>ÖSTERGÖTLANDS LÄN</t>
        </is>
      </c>
      <c r="G34" t="inlineStr">
        <is>
          <t>VALDEMARSVIK</t>
        </is>
      </c>
      <c r="I34" t="n">
        <v>0.7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t="n">
        <v>0</v>
      </c>
      <c r="S34" t="n">
        <v>0</v>
      </c>
      <c r="T34" t="n">
        <v>0</v>
      </c>
      <c r="U34" t="n">
        <v>0</v>
      </c>
      <c r="V34" s="2" t="inlineStr"/>
    </row>
    <row r="35" ht="15" customHeight="1">
      <c r="A35" t="inlineStr">
        <is>
          <t>A 118-2022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44564</v>
      </c>
      <c r="E35" s="1" t="n">
        <v>46322</v>
      </c>
      <c r="F35" t="inlineStr">
        <is>
          <t>ÖSTERGÖTLANDS LÄN</t>
        </is>
      </c>
      <c r="G35" t="inlineStr">
        <is>
          <t>VALDEMARSVIK</t>
        </is>
      </c>
      <c r="I35" t="n">
        <v>0.8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t="n">
        <v>0</v>
      </c>
      <c r="S35" t="n">
        <v>0</v>
      </c>
      <c r="T35" t="n">
        <v>0</v>
      </c>
      <c r="U35" t="n">
        <v>0</v>
      </c>
      <c r="V35" s="2" t="inlineStr"/>
    </row>
    <row r="36" ht="15" customHeight="1">
      <c r="A36" t="inlineStr">
        <is>
          <t>A 8688-2022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44613</v>
      </c>
      <c r="E36" s="1" t="n">
        <v>46322</v>
      </c>
      <c r="F36" t="inlineStr">
        <is>
          <t>ÖSTERGÖTLANDS LÄN</t>
        </is>
      </c>
      <c r="G36" t="inlineStr">
        <is>
          <t>VALDEMARSVIK</t>
        </is>
      </c>
      <c r="I36" t="n">
        <v>0.5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t="n">
        <v>0</v>
      </c>
      <c r="S36" t="n">
        <v>0</v>
      </c>
      <c r="T36" t="n">
        <v>0</v>
      </c>
      <c r="U36" t="n">
        <v>0</v>
      </c>
      <c r="V36" s="2" t="inlineStr"/>
    </row>
    <row r="37" ht="15" customHeight="1">
      <c r="A37" t="inlineStr">
        <is>
          <t>A 12094-2022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44636</v>
      </c>
      <c r="E37" s="1" t="n">
        <v>46322</v>
      </c>
      <c r="F37" t="inlineStr">
        <is>
          <t>ÖSTERGÖTLANDS LÄN</t>
        </is>
      </c>
      <c r="G37" t="inlineStr">
        <is>
          <t>VALDEMARSVIK</t>
        </is>
      </c>
      <c r="I37" t="n">
        <v>6.7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t="n">
        <v>0</v>
      </c>
      <c r="S37" t="n">
        <v>0</v>
      </c>
      <c r="T37" t="n">
        <v>0</v>
      </c>
      <c r="U37" t="n">
        <v>0</v>
      </c>
      <c r="V37" s="2" t="inlineStr"/>
    </row>
    <row r="38" ht="15" customHeight="1">
      <c r="A38" t="inlineStr">
        <is>
          <t>A 15115-2022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44658</v>
      </c>
      <c r="E38" s="1" t="n">
        <v>46322</v>
      </c>
      <c r="F38" t="inlineStr">
        <is>
          <t>ÖSTERGÖTLANDS LÄN</t>
        </is>
      </c>
      <c r="G38" t="inlineStr">
        <is>
          <t>VALDEMARSVIK</t>
        </is>
      </c>
      <c r="I38" t="n">
        <v>2.2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t="n">
        <v>0</v>
      </c>
      <c r="S38" t="n">
        <v>0</v>
      </c>
      <c r="T38" t="n">
        <v>0</v>
      </c>
      <c r="U38" t="n">
        <v>0</v>
      </c>
      <c r="V38" s="2" t="inlineStr"/>
    </row>
    <row r="39" ht="15" customHeight="1">
      <c r="A39" t="inlineStr">
        <is>
          <t>A 1527-2022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44573</v>
      </c>
      <c r="E39" s="1" t="n">
        <v>46322</v>
      </c>
      <c r="F39" t="inlineStr">
        <is>
          <t>ÖSTERGÖTLANDS LÄN</t>
        </is>
      </c>
      <c r="G39" t="inlineStr">
        <is>
          <t>VALDEMARSVIK</t>
        </is>
      </c>
      <c r="I39" t="n">
        <v>0.5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t="n">
        <v>0</v>
      </c>
      <c r="S39" t="n">
        <v>0</v>
      </c>
      <c r="T39" t="n">
        <v>0</v>
      </c>
      <c r="U39" t="n">
        <v>0</v>
      </c>
      <c r="V39" s="2" t="inlineStr"/>
    </row>
    <row r="40" ht="15" customHeight="1">
      <c r="A40" t="inlineStr">
        <is>
          <t>A 14518-2022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44656</v>
      </c>
      <c r="E40" s="1" t="n">
        <v>46322</v>
      </c>
      <c r="F40" t="inlineStr">
        <is>
          <t>ÖSTERGÖTLANDS LÄN</t>
        </is>
      </c>
      <c r="G40" t="inlineStr">
        <is>
          <t>VALDEMARSVIK</t>
        </is>
      </c>
      <c r="I40" t="n">
        <v>1.2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t="n">
        <v>0</v>
      </c>
      <c r="S40" t="n">
        <v>0</v>
      </c>
      <c r="T40" t="n">
        <v>0</v>
      </c>
      <c r="U40" t="n">
        <v>0</v>
      </c>
      <c r="V40" s="2" t="inlineStr"/>
    </row>
    <row r="41" ht="15" customHeight="1">
      <c r="A41" t="inlineStr">
        <is>
          <t>A 11252-2022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44629</v>
      </c>
      <c r="E41" s="1" t="n">
        <v>46322</v>
      </c>
      <c r="F41" t="inlineStr">
        <is>
          <t>ÖSTERGÖTLANDS LÄN</t>
        </is>
      </c>
      <c r="G41" t="inlineStr">
        <is>
          <t>VALDEMARSVIK</t>
        </is>
      </c>
      <c r="I41" t="n">
        <v>1.6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t="n">
        <v>0</v>
      </c>
      <c r="S41" t="n">
        <v>0</v>
      </c>
      <c r="T41" t="n">
        <v>0</v>
      </c>
      <c r="U41" t="n">
        <v>0</v>
      </c>
      <c r="V41" s="2" t="inlineStr"/>
    </row>
    <row r="42" ht="15" customHeight="1">
      <c r="A42" t="inlineStr">
        <is>
          <t>A 1424-2022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44573</v>
      </c>
      <c r="E42" s="1" t="n">
        <v>46322</v>
      </c>
      <c r="F42" t="inlineStr">
        <is>
          <t>ÖSTERGÖTLANDS LÄN</t>
        </is>
      </c>
      <c r="G42" t="inlineStr">
        <is>
          <t>VALDEMARSVIK</t>
        </is>
      </c>
      <c r="I42" t="n">
        <v>0.5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t="n">
        <v>0</v>
      </c>
      <c r="S42" t="n">
        <v>0</v>
      </c>
      <c r="T42" t="n">
        <v>0</v>
      </c>
      <c r="U42" t="n">
        <v>0</v>
      </c>
      <c r="V42" s="2" t="inlineStr"/>
    </row>
    <row r="43" ht="15" customHeight="1">
      <c r="A43" t="inlineStr">
        <is>
          <t>A 4927-2022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44593</v>
      </c>
      <c r="E43" s="1" t="n">
        <v>46322</v>
      </c>
      <c r="F43" t="inlineStr">
        <is>
          <t>ÖSTERGÖTLANDS LÄN</t>
        </is>
      </c>
      <c r="G43" t="inlineStr">
        <is>
          <t>VALDEMARSVIK</t>
        </is>
      </c>
      <c r="I43" t="n">
        <v>0.9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t="n">
        <v>0</v>
      </c>
      <c r="S43" t="n">
        <v>0</v>
      </c>
      <c r="T43" t="n">
        <v>0</v>
      </c>
      <c r="U43" t="n">
        <v>0</v>
      </c>
      <c r="V43" s="2" t="inlineStr"/>
    </row>
    <row r="44" ht="15" customHeight="1">
      <c r="A44" t="inlineStr">
        <is>
          <t>A 54230-2022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44881</v>
      </c>
      <c r="E44" s="1" t="n">
        <v>46322</v>
      </c>
      <c r="F44" t="inlineStr">
        <is>
          <t>ÖSTERGÖTLANDS LÄN</t>
        </is>
      </c>
      <c r="G44" t="inlineStr">
        <is>
          <t>VALDEMARSVIK</t>
        </is>
      </c>
      <c r="I44" t="n">
        <v>0.9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t="n">
        <v>0</v>
      </c>
      <c r="S44" t="n">
        <v>0</v>
      </c>
      <c r="T44" t="n">
        <v>0</v>
      </c>
      <c r="U44" t="n">
        <v>0</v>
      </c>
      <c r="V44" s="2" t="inlineStr"/>
    </row>
    <row r="45" ht="15" customHeight="1">
      <c r="A45" t="inlineStr">
        <is>
          <t>A 6996-2022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44603</v>
      </c>
      <c r="E45" s="1" t="n">
        <v>46322</v>
      </c>
      <c r="F45" t="inlineStr">
        <is>
          <t>ÖSTERGÖTLANDS LÄN</t>
        </is>
      </c>
      <c r="G45" t="inlineStr">
        <is>
          <t>VALDEMARSVIK</t>
        </is>
      </c>
      <c r="H45" t="inlineStr">
        <is>
          <t>Övriga Aktiebolag</t>
        </is>
      </c>
      <c r="I45" t="n">
        <v>4.1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t="n">
        <v>0</v>
      </c>
      <c r="S45" t="n">
        <v>0</v>
      </c>
      <c r="T45" t="n">
        <v>0</v>
      </c>
      <c r="U45" t="n">
        <v>0</v>
      </c>
      <c r="V45" s="2" t="inlineStr"/>
    </row>
    <row r="46" ht="15" customHeight="1">
      <c r="A46" t="inlineStr">
        <is>
          <t>A 7125-2022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44603</v>
      </c>
      <c r="E46" s="1" t="n">
        <v>46322</v>
      </c>
      <c r="F46" t="inlineStr">
        <is>
          <t>ÖSTERGÖTLANDS LÄN</t>
        </is>
      </c>
      <c r="G46" t="inlineStr">
        <is>
          <t>VALDEMARSVIK</t>
        </is>
      </c>
      <c r="I46" t="n">
        <v>2.4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  <c r="S46" t="n">
        <v>0</v>
      </c>
      <c r="T46" t="n">
        <v>0</v>
      </c>
      <c r="U46" t="n">
        <v>0</v>
      </c>
      <c r="V46" s="2" t="inlineStr"/>
    </row>
    <row r="47" ht="15" customHeight="1">
      <c r="A47" t="inlineStr">
        <is>
          <t>A 7138-2022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44603</v>
      </c>
      <c r="E47" s="1" t="n">
        <v>46322</v>
      </c>
      <c r="F47" t="inlineStr">
        <is>
          <t>ÖSTERGÖTLANDS LÄN</t>
        </is>
      </c>
      <c r="G47" t="inlineStr">
        <is>
          <t>VALDEMARSVIK</t>
        </is>
      </c>
      <c r="I47" t="n">
        <v>1.5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0</v>
      </c>
      <c r="T47" t="n">
        <v>0</v>
      </c>
      <c r="U47" t="n">
        <v>0</v>
      </c>
      <c r="V47" s="2" t="inlineStr"/>
    </row>
    <row r="48" ht="15" customHeight="1">
      <c r="A48" t="inlineStr">
        <is>
          <t>A 24971-2022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44728</v>
      </c>
      <c r="E48" s="1" t="n">
        <v>46322</v>
      </c>
      <c r="F48" t="inlineStr">
        <is>
          <t>ÖSTERGÖTLANDS LÄN</t>
        </is>
      </c>
      <c r="G48" t="inlineStr">
        <is>
          <t>VALDEMARSVIK</t>
        </is>
      </c>
      <c r="I48" t="n">
        <v>0.5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0</v>
      </c>
      <c r="T48" t="n">
        <v>0</v>
      </c>
      <c r="U48" t="n">
        <v>0</v>
      </c>
      <c r="V48" s="2" t="inlineStr"/>
    </row>
    <row r="49" ht="15" customHeight="1">
      <c r="A49" t="inlineStr">
        <is>
          <t>A 6522-2025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45699</v>
      </c>
      <c r="E49" s="1" t="n">
        <v>46322</v>
      </c>
      <c r="F49" t="inlineStr">
        <is>
          <t>ÖSTERGÖTLANDS LÄN</t>
        </is>
      </c>
      <c r="G49" t="inlineStr">
        <is>
          <t>VALDEMARSVIK</t>
        </is>
      </c>
      <c r="I49" t="n">
        <v>5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0</v>
      </c>
      <c r="T49" t="n">
        <v>0</v>
      </c>
      <c r="U49" t="n">
        <v>0</v>
      </c>
      <c r="V49" s="2" t="inlineStr"/>
    </row>
    <row r="50" ht="15" customHeight="1">
      <c r="A50" t="inlineStr">
        <is>
          <t>A 29424-2022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44753</v>
      </c>
      <c r="E50" s="1" t="n">
        <v>46322</v>
      </c>
      <c r="F50" t="inlineStr">
        <is>
          <t>ÖSTERGÖTLANDS LÄN</t>
        </is>
      </c>
      <c r="G50" t="inlineStr">
        <is>
          <t>VALDEMARSVIK</t>
        </is>
      </c>
      <c r="I50" t="n">
        <v>5.4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0</v>
      </c>
      <c r="T50" t="n">
        <v>0</v>
      </c>
      <c r="U50" t="n">
        <v>0</v>
      </c>
      <c r="V50" s="2" t="inlineStr"/>
    </row>
    <row r="51" ht="15" customHeight="1">
      <c r="A51" t="inlineStr">
        <is>
          <t>A 3276-2024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45317</v>
      </c>
      <c r="E51" s="1" t="n">
        <v>46322</v>
      </c>
      <c r="F51" t="inlineStr">
        <is>
          <t>ÖSTERGÖTLANDS LÄN</t>
        </is>
      </c>
      <c r="G51" t="inlineStr">
        <is>
          <t>VALDEMARSVIK</t>
        </is>
      </c>
      <c r="I51" t="n">
        <v>0.4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0</v>
      </c>
      <c r="T51" t="n">
        <v>0</v>
      </c>
      <c r="U51" t="n">
        <v>0</v>
      </c>
      <c r="V51" s="2" t="inlineStr"/>
    </row>
    <row r="52" ht="15" customHeight="1">
      <c r="A52" t="inlineStr">
        <is>
          <t>A 49934-2024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45597</v>
      </c>
      <c r="E52" s="1" t="n">
        <v>46322</v>
      </c>
      <c r="F52" t="inlineStr">
        <is>
          <t>ÖSTERGÖTLANDS LÄN</t>
        </is>
      </c>
      <c r="G52" t="inlineStr">
        <is>
          <t>VALDEMARSVIK</t>
        </is>
      </c>
      <c r="H52" t="inlineStr">
        <is>
          <t>Holmen skog AB</t>
        </is>
      </c>
      <c r="I52" t="n">
        <v>1.5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0</v>
      </c>
      <c r="T52" t="n">
        <v>0</v>
      </c>
      <c r="U52" t="n">
        <v>0</v>
      </c>
      <c r="V52" s="2" t="inlineStr"/>
    </row>
    <row r="53" ht="15" customHeight="1">
      <c r="A53" t="inlineStr">
        <is>
          <t>A 7634-2022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44607</v>
      </c>
      <c r="E53" s="1" t="n">
        <v>46322</v>
      </c>
      <c r="F53" t="inlineStr">
        <is>
          <t>ÖSTERGÖTLANDS LÄN</t>
        </is>
      </c>
      <c r="G53" t="inlineStr">
        <is>
          <t>VALDEMARSVIK</t>
        </is>
      </c>
      <c r="I53" t="n">
        <v>2.3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0</v>
      </c>
      <c r="T53" t="n">
        <v>0</v>
      </c>
      <c r="U53" t="n">
        <v>0</v>
      </c>
      <c r="V53" s="2" t="inlineStr"/>
    </row>
    <row r="54" ht="15" customHeight="1">
      <c r="A54" t="inlineStr">
        <is>
          <t>A 48243-2024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45590</v>
      </c>
      <c r="E54" s="1" t="n">
        <v>46322</v>
      </c>
      <c r="F54" t="inlineStr">
        <is>
          <t>ÖSTERGÖTLANDS LÄN</t>
        </is>
      </c>
      <c r="G54" t="inlineStr">
        <is>
          <t>VALDEMARSVIK</t>
        </is>
      </c>
      <c r="I54" t="n">
        <v>0.9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0</v>
      </c>
      <c r="T54" t="n">
        <v>0</v>
      </c>
      <c r="U54" t="n">
        <v>0</v>
      </c>
      <c r="V54" s="2" t="inlineStr"/>
    </row>
    <row r="55" ht="15" customHeight="1">
      <c r="A55" t="inlineStr">
        <is>
          <t>A 37421-2024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45540</v>
      </c>
      <c r="E55" s="1" t="n">
        <v>46322</v>
      </c>
      <c r="F55" t="inlineStr">
        <is>
          <t>ÖSTERGÖTLANDS LÄN</t>
        </is>
      </c>
      <c r="G55" t="inlineStr">
        <is>
          <t>VALDEMARSVIK</t>
        </is>
      </c>
      <c r="I55" t="n">
        <v>3.5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0</v>
      </c>
      <c r="T55" t="n">
        <v>0</v>
      </c>
      <c r="U55" t="n">
        <v>0</v>
      </c>
      <c r="V55" s="2" t="inlineStr"/>
    </row>
    <row r="56" ht="15" customHeight="1">
      <c r="A56" t="inlineStr">
        <is>
          <t>A 19937-2024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45433</v>
      </c>
      <c r="E56" s="1" t="n">
        <v>46322</v>
      </c>
      <c r="F56" t="inlineStr">
        <is>
          <t>ÖSTERGÖTLANDS LÄN</t>
        </is>
      </c>
      <c r="G56" t="inlineStr">
        <is>
          <t>VALDEMARSVIK</t>
        </is>
      </c>
      <c r="I56" t="n">
        <v>11.9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0</v>
      </c>
      <c r="T56" t="n">
        <v>0</v>
      </c>
      <c r="U56" t="n">
        <v>0</v>
      </c>
      <c r="V56" s="2" t="inlineStr"/>
    </row>
    <row r="57" ht="15" customHeight="1">
      <c r="A57" t="inlineStr">
        <is>
          <t>A 19747-2024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45432</v>
      </c>
      <c r="E57" s="1" t="n">
        <v>46322</v>
      </c>
      <c r="F57" t="inlineStr">
        <is>
          <t>ÖSTERGÖTLANDS LÄN</t>
        </is>
      </c>
      <c r="G57" t="inlineStr">
        <is>
          <t>VALDEMARSVIK</t>
        </is>
      </c>
      <c r="I57" t="n">
        <v>1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0</v>
      </c>
      <c r="T57" t="n">
        <v>0</v>
      </c>
      <c r="U57" t="n">
        <v>0</v>
      </c>
      <c r="V57" s="2" t="inlineStr"/>
    </row>
    <row r="58" ht="15" customHeight="1">
      <c r="A58" t="inlineStr">
        <is>
          <t>A 60242-2022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44910</v>
      </c>
      <c r="E58" s="1" t="n">
        <v>46322</v>
      </c>
      <c r="F58" t="inlineStr">
        <is>
          <t>ÖSTERGÖTLANDS LÄN</t>
        </is>
      </c>
      <c r="G58" t="inlineStr">
        <is>
          <t>VALDEMARSVIK</t>
        </is>
      </c>
      <c r="I58" t="n">
        <v>3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0</v>
      </c>
      <c r="T58" t="n">
        <v>0</v>
      </c>
      <c r="U58" t="n">
        <v>0</v>
      </c>
      <c r="V58" s="2" t="inlineStr"/>
    </row>
    <row r="59" ht="15" customHeight="1">
      <c r="A59" t="inlineStr">
        <is>
          <t>A 18961-2022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44690</v>
      </c>
      <c r="E59" s="1" t="n">
        <v>46322</v>
      </c>
      <c r="F59" t="inlineStr">
        <is>
          <t>ÖSTERGÖTLANDS LÄN</t>
        </is>
      </c>
      <c r="G59" t="inlineStr">
        <is>
          <t>VALDEMARSVIK</t>
        </is>
      </c>
      <c r="I59" t="n">
        <v>2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0</v>
      </c>
      <c r="T59" t="n">
        <v>0</v>
      </c>
      <c r="U59" t="n">
        <v>0</v>
      </c>
      <c r="V59" s="2" t="inlineStr"/>
    </row>
    <row r="60" ht="15" customHeight="1">
      <c r="A60" t="inlineStr">
        <is>
          <t>A 9337-2022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44616</v>
      </c>
      <c r="E60" s="1" t="n">
        <v>46322</v>
      </c>
      <c r="F60" t="inlineStr">
        <is>
          <t>ÖSTERGÖTLANDS LÄN</t>
        </is>
      </c>
      <c r="G60" t="inlineStr">
        <is>
          <t>VALDEMARSVIK</t>
        </is>
      </c>
      <c r="I60" t="n">
        <v>0.6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0</v>
      </c>
      <c r="T60" t="n">
        <v>0</v>
      </c>
      <c r="U60" t="n">
        <v>0</v>
      </c>
      <c r="V60" s="2" t="inlineStr"/>
    </row>
    <row r="61" ht="15" customHeight="1">
      <c r="A61" t="inlineStr">
        <is>
          <t>A 7254-2023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44970</v>
      </c>
      <c r="E61" s="1" t="n">
        <v>46322</v>
      </c>
      <c r="F61" t="inlineStr">
        <is>
          <t>ÖSTERGÖTLANDS LÄN</t>
        </is>
      </c>
      <c r="G61" t="inlineStr">
        <is>
          <t>VALDEMARSVIK</t>
        </is>
      </c>
      <c r="I61" t="n">
        <v>1.8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0</v>
      </c>
      <c r="T61" t="n">
        <v>0</v>
      </c>
      <c r="U61" t="n">
        <v>0</v>
      </c>
      <c r="V61" s="2" t="inlineStr"/>
    </row>
    <row r="62" ht="15" customHeight="1">
      <c r="A62" t="inlineStr">
        <is>
          <t>A 35908-2023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45148</v>
      </c>
      <c r="E62" s="1" t="n">
        <v>46322</v>
      </c>
      <c r="F62" t="inlineStr">
        <is>
          <t>ÖSTERGÖTLANDS LÄN</t>
        </is>
      </c>
      <c r="G62" t="inlineStr">
        <is>
          <t>VALDEMARSVIK</t>
        </is>
      </c>
      <c r="I62" t="n">
        <v>2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0</v>
      </c>
      <c r="T62" t="n">
        <v>0</v>
      </c>
      <c r="U62" t="n">
        <v>0</v>
      </c>
      <c r="V62" s="2" t="inlineStr"/>
    </row>
    <row r="63" ht="15" customHeight="1">
      <c r="A63" t="inlineStr">
        <is>
          <t>A 6548-2022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44601</v>
      </c>
      <c r="E63" s="1" t="n">
        <v>46322</v>
      </c>
      <c r="F63" t="inlineStr">
        <is>
          <t>ÖSTERGÖTLANDS LÄN</t>
        </is>
      </c>
      <c r="G63" t="inlineStr">
        <is>
          <t>VALDEMARSVIK</t>
        </is>
      </c>
      <c r="I63" t="n">
        <v>2.1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0</v>
      </c>
      <c r="T63" t="n">
        <v>0</v>
      </c>
      <c r="U63" t="n">
        <v>0</v>
      </c>
      <c r="V63" s="2" t="inlineStr"/>
    </row>
    <row r="64" ht="15" customHeight="1">
      <c r="A64" t="inlineStr">
        <is>
          <t>A 4856-2023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44957</v>
      </c>
      <c r="E64" s="1" t="n">
        <v>46322</v>
      </c>
      <c r="F64" t="inlineStr">
        <is>
          <t>ÖSTERGÖTLANDS LÄN</t>
        </is>
      </c>
      <c r="G64" t="inlineStr">
        <is>
          <t>VALDEMARSVIK</t>
        </is>
      </c>
      <c r="I64" t="n">
        <v>3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0</v>
      </c>
      <c r="T64" t="n">
        <v>0</v>
      </c>
      <c r="U64" t="n">
        <v>0</v>
      </c>
      <c r="V64" s="2" t="inlineStr"/>
    </row>
    <row r="65" ht="15" customHeight="1">
      <c r="A65" t="inlineStr">
        <is>
          <t>A 21233-2023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45062</v>
      </c>
      <c r="E65" s="1" t="n">
        <v>46322</v>
      </c>
      <c r="F65" t="inlineStr">
        <is>
          <t>ÖSTERGÖTLANDS LÄN</t>
        </is>
      </c>
      <c r="G65" t="inlineStr">
        <is>
          <t>VALDEMARSVIK</t>
        </is>
      </c>
      <c r="I65" t="n">
        <v>3.3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0</v>
      </c>
      <c r="T65" t="n">
        <v>0</v>
      </c>
      <c r="U65" t="n">
        <v>0</v>
      </c>
      <c r="V65" s="2" t="inlineStr"/>
    </row>
    <row r="66" ht="15" customHeight="1">
      <c r="A66" t="inlineStr">
        <is>
          <t>A 19745-2024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45432</v>
      </c>
      <c r="E66" s="1" t="n">
        <v>46322</v>
      </c>
      <c r="F66" t="inlineStr">
        <is>
          <t>ÖSTERGÖTLANDS LÄN</t>
        </is>
      </c>
      <c r="G66" t="inlineStr">
        <is>
          <t>VALDEMARSVIK</t>
        </is>
      </c>
      <c r="I66" t="n">
        <v>1.6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0</v>
      </c>
      <c r="T66" t="n">
        <v>0</v>
      </c>
      <c r="U66" t="n">
        <v>0</v>
      </c>
      <c r="V66" s="2" t="inlineStr"/>
    </row>
    <row r="67" ht="15" customHeight="1">
      <c r="A67" t="inlineStr">
        <is>
          <t>A 59516-2023</t>
        </is>
      </c>
      <c r="B67" t="inlineStr">
        <is>
          <t>avverkningsanmälan</t>
        </is>
      </c>
      <c r="C67" t="inlineStr">
        <is>
          <t>Avverkning för annat ändamål</t>
        </is>
      </c>
      <c r="D67" s="1" t="n">
        <v>45254</v>
      </c>
      <c r="E67" s="1" t="n">
        <v>46322</v>
      </c>
      <c r="F67" t="inlineStr">
        <is>
          <t>ÖSTERGÖTLANDS LÄN</t>
        </is>
      </c>
      <c r="G67" t="inlineStr">
        <is>
          <t>VALDEMARSVIK</t>
        </is>
      </c>
      <c r="I67" t="n">
        <v>0.4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0</v>
      </c>
      <c r="T67" t="n">
        <v>0</v>
      </c>
      <c r="U67" t="n">
        <v>0</v>
      </c>
      <c r="V67" s="2" t="inlineStr"/>
    </row>
    <row r="68" ht="15" customHeight="1">
      <c r="A68" t="inlineStr">
        <is>
          <t>A 48247-2024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45590</v>
      </c>
      <c r="E68" s="1" t="n">
        <v>46322</v>
      </c>
      <c r="F68" t="inlineStr">
        <is>
          <t>ÖSTERGÖTLANDS LÄN</t>
        </is>
      </c>
      <c r="G68" t="inlineStr">
        <is>
          <t>VALDEMARSVIK</t>
        </is>
      </c>
      <c r="I68" t="n">
        <v>0.5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0</v>
      </c>
      <c r="T68" t="n">
        <v>0</v>
      </c>
      <c r="U68" t="n">
        <v>0</v>
      </c>
      <c r="V68" s="2" t="inlineStr"/>
    </row>
    <row r="69" ht="15" customHeight="1">
      <c r="A69" t="inlineStr">
        <is>
          <t>A 46774-2025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45926</v>
      </c>
      <c r="E69" s="1" t="n">
        <v>46322</v>
      </c>
      <c r="F69" t="inlineStr">
        <is>
          <t>ÖSTERGÖTLANDS LÄN</t>
        </is>
      </c>
      <c r="G69" t="inlineStr">
        <is>
          <t>VALDEMARSVIK</t>
        </is>
      </c>
      <c r="I69" t="n">
        <v>3.7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t="n">
        <v>0</v>
      </c>
      <c r="V69" s="2" t="inlineStr"/>
    </row>
    <row r="70" ht="15" customHeight="1">
      <c r="A70" t="inlineStr">
        <is>
          <t>A 15541-2023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45020</v>
      </c>
      <c r="E70" s="1" t="n">
        <v>46322</v>
      </c>
      <c r="F70" t="inlineStr">
        <is>
          <t>ÖSTERGÖTLANDS LÄN</t>
        </is>
      </c>
      <c r="G70" t="inlineStr">
        <is>
          <t>VALDEMARSVIK</t>
        </is>
      </c>
      <c r="I70" t="n">
        <v>1.5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t="n">
        <v>0</v>
      </c>
      <c r="V70" s="2" t="inlineStr"/>
    </row>
    <row r="71" ht="15" customHeight="1">
      <c r="A71" t="inlineStr">
        <is>
          <t>A 46759-2025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45926</v>
      </c>
      <c r="E71" s="1" t="n">
        <v>46322</v>
      </c>
      <c r="F71" t="inlineStr">
        <is>
          <t>ÖSTERGÖTLANDS LÄN</t>
        </is>
      </c>
      <c r="G71" t="inlineStr">
        <is>
          <t>VALDEMARSVIK</t>
        </is>
      </c>
      <c r="I71" t="n">
        <v>3.9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t="n">
        <v>0</v>
      </c>
      <c r="V71" s="2" t="inlineStr"/>
    </row>
    <row r="72" ht="15" customHeight="1">
      <c r="A72" t="inlineStr">
        <is>
          <t>A 16342-2023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45028</v>
      </c>
      <c r="E72" s="1" t="n">
        <v>46322</v>
      </c>
      <c r="F72" t="inlineStr">
        <is>
          <t>ÖSTERGÖTLANDS LÄN</t>
        </is>
      </c>
      <c r="G72" t="inlineStr">
        <is>
          <t>VALDEMARSVIK</t>
        </is>
      </c>
      <c r="I72" t="n">
        <v>4.1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t="n">
        <v>0</v>
      </c>
      <c r="V72" s="2" t="inlineStr"/>
    </row>
    <row r="73" ht="15" customHeight="1">
      <c r="A73" t="inlineStr">
        <is>
          <t>A 46951-2025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45929</v>
      </c>
      <c r="E73" s="1" t="n">
        <v>46322</v>
      </c>
      <c r="F73" t="inlineStr">
        <is>
          <t>ÖSTERGÖTLANDS LÄN</t>
        </is>
      </c>
      <c r="G73" t="inlineStr">
        <is>
          <t>VALDEMARSVIK</t>
        </is>
      </c>
      <c r="I73" t="n">
        <v>1.6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t="n">
        <v>0</v>
      </c>
      <c r="V73" s="2" t="inlineStr"/>
    </row>
    <row r="74" ht="15" customHeight="1">
      <c r="A74" t="inlineStr">
        <is>
          <t>A 46948-2025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45929</v>
      </c>
      <c r="E74" s="1" t="n">
        <v>46322</v>
      </c>
      <c r="F74" t="inlineStr">
        <is>
          <t>ÖSTERGÖTLANDS LÄN</t>
        </is>
      </c>
      <c r="G74" t="inlineStr">
        <is>
          <t>VALDEMARSVIK</t>
        </is>
      </c>
      <c r="I74" t="n">
        <v>2.2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t="n">
        <v>0</v>
      </c>
      <c r="V74" s="2" t="inlineStr"/>
    </row>
    <row r="75" ht="15" customHeight="1">
      <c r="A75" t="inlineStr">
        <is>
          <t>A 46762-2025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45926</v>
      </c>
      <c r="E75" s="1" t="n">
        <v>46322</v>
      </c>
      <c r="F75" t="inlineStr">
        <is>
          <t>ÖSTERGÖTLANDS LÄN</t>
        </is>
      </c>
      <c r="G75" t="inlineStr">
        <is>
          <t>VALDEMARSVIK</t>
        </is>
      </c>
      <c r="I75" t="n">
        <v>0.5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t="n">
        <v>0</v>
      </c>
      <c r="V75" s="2" t="inlineStr"/>
    </row>
    <row r="76" ht="15" customHeight="1">
      <c r="A76" t="inlineStr">
        <is>
          <t>A 46763-2025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45926</v>
      </c>
      <c r="E76" s="1" t="n">
        <v>46322</v>
      </c>
      <c r="F76" t="inlineStr">
        <is>
          <t>ÖSTERGÖTLANDS LÄN</t>
        </is>
      </c>
      <c r="G76" t="inlineStr">
        <is>
          <t>VALDEMARSVIK</t>
        </is>
      </c>
      <c r="I76" t="n">
        <v>1.5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t="n">
        <v>0</v>
      </c>
      <c r="V76" s="2" t="inlineStr"/>
    </row>
    <row r="77" ht="15" customHeight="1">
      <c r="A77" t="inlineStr">
        <is>
          <t>A 47679-2024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45588</v>
      </c>
      <c r="E77" s="1" t="n">
        <v>46322</v>
      </c>
      <c r="F77" t="inlineStr">
        <is>
          <t>ÖSTERGÖTLANDS LÄN</t>
        </is>
      </c>
      <c r="G77" t="inlineStr">
        <is>
          <t>VALDEMARSVIK</t>
        </is>
      </c>
      <c r="I77" t="n">
        <v>5.5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t="n">
        <v>0</v>
      </c>
      <c r="V77" s="2" t="inlineStr"/>
    </row>
    <row r="78" ht="15" customHeight="1">
      <c r="A78" t="inlineStr">
        <is>
          <t>A 44640-2023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45189</v>
      </c>
      <c r="E78" s="1" t="n">
        <v>46322</v>
      </c>
      <c r="F78" t="inlineStr">
        <is>
          <t>ÖSTERGÖTLANDS LÄN</t>
        </is>
      </c>
      <c r="G78" t="inlineStr">
        <is>
          <t>VALDEMARSVIK</t>
        </is>
      </c>
      <c r="I78" t="n">
        <v>4.6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t="n">
        <v>0</v>
      </c>
      <c r="V78" s="2" t="inlineStr"/>
    </row>
    <row r="79" ht="15" customHeight="1">
      <c r="A79" t="inlineStr">
        <is>
          <t>A 15660-2024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45404</v>
      </c>
      <c r="E79" s="1" t="n">
        <v>46322</v>
      </c>
      <c r="F79" t="inlineStr">
        <is>
          <t>ÖSTERGÖTLANDS LÄN</t>
        </is>
      </c>
      <c r="G79" t="inlineStr">
        <is>
          <t>VALDEMARSVIK</t>
        </is>
      </c>
      <c r="I79" t="n">
        <v>2.9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t="n">
        <v>0</v>
      </c>
      <c r="V79" s="2" t="inlineStr"/>
    </row>
    <row r="80" ht="15" customHeight="1">
      <c r="A80" t="inlineStr">
        <is>
          <t>A 66424-2021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44518</v>
      </c>
      <c r="E80" s="1" t="n">
        <v>46322</v>
      </c>
      <c r="F80" t="inlineStr">
        <is>
          <t>ÖSTERGÖTLANDS LÄN</t>
        </is>
      </c>
      <c r="G80" t="inlineStr">
        <is>
          <t>VALDEMARSVIK</t>
        </is>
      </c>
      <c r="I80" t="n">
        <v>2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t="n">
        <v>0</v>
      </c>
      <c r="V80" s="2" t="inlineStr"/>
    </row>
    <row r="81" ht="15" customHeight="1">
      <c r="A81" t="inlineStr">
        <is>
          <t>A 39583-2022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44818</v>
      </c>
      <c r="E81" s="1" t="n">
        <v>46322</v>
      </c>
      <c r="F81" t="inlineStr">
        <is>
          <t>ÖSTERGÖTLANDS LÄN</t>
        </is>
      </c>
      <c r="G81" t="inlineStr">
        <is>
          <t>VALDEMARSVIK</t>
        </is>
      </c>
      <c r="I81" t="n">
        <v>2.9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t="n">
        <v>0</v>
      </c>
      <c r="V81" s="2" t="inlineStr"/>
    </row>
    <row r="82" ht="15" customHeight="1">
      <c r="A82" t="inlineStr">
        <is>
          <t>A 10122-2025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45719</v>
      </c>
      <c r="E82" s="1" t="n">
        <v>46322</v>
      </c>
      <c r="F82" t="inlineStr">
        <is>
          <t>ÖSTERGÖTLANDS LÄN</t>
        </is>
      </c>
      <c r="G82" t="inlineStr">
        <is>
          <t>VALDEMARSVIK</t>
        </is>
      </c>
      <c r="I82" t="n">
        <v>1.1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t="n">
        <v>0</v>
      </c>
      <c r="V82" s="2" t="inlineStr"/>
    </row>
    <row r="83" ht="15" customHeight="1">
      <c r="A83" t="inlineStr">
        <is>
          <t>A 7237-2024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45344</v>
      </c>
      <c r="E83" s="1" t="n">
        <v>46322</v>
      </c>
      <c r="F83" t="inlineStr">
        <is>
          <t>ÖSTERGÖTLANDS LÄN</t>
        </is>
      </c>
      <c r="G83" t="inlineStr">
        <is>
          <t>VALDEMARSVIK</t>
        </is>
      </c>
      <c r="I83" t="n">
        <v>0.4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</v>
      </c>
      <c r="U83" t="n">
        <v>0</v>
      </c>
      <c r="V83" s="2" t="inlineStr"/>
    </row>
    <row r="84" ht="15" customHeight="1">
      <c r="A84" t="inlineStr">
        <is>
          <t>A 29008-2022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44749</v>
      </c>
      <c r="E84" s="1" t="n">
        <v>46322</v>
      </c>
      <c r="F84" t="inlineStr">
        <is>
          <t>ÖSTERGÖTLANDS LÄN</t>
        </is>
      </c>
      <c r="G84" t="inlineStr">
        <is>
          <t>VALDEMARSVIK</t>
        </is>
      </c>
      <c r="I84" t="n">
        <v>1.7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t="n">
        <v>0</v>
      </c>
      <c r="V84" s="2" t="inlineStr"/>
    </row>
    <row r="85" ht="15" customHeight="1">
      <c r="A85" t="inlineStr">
        <is>
          <t>A 4965-2026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46049</v>
      </c>
      <c r="E85" s="1" t="n">
        <v>46322</v>
      </c>
      <c r="F85" t="inlineStr">
        <is>
          <t>ÖSTERGÖTLANDS LÄN</t>
        </is>
      </c>
      <c r="G85" t="inlineStr">
        <is>
          <t>VALDEMARSVIK</t>
        </is>
      </c>
      <c r="I85" t="n">
        <v>1.3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t="n">
        <v>0</v>
      </c>
      <c r="V85" s="2" t="inlineStr"/>
    </row>
    <row r="86" ht="15" customHeight="1">
      <c r="A86" t="inlineStr">
        <is>
          <t>A 65113-2023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45287</v>
      </c>
      <c r="E86" s="1" t="n">
        <v>46322</v>
      </c>
      <c r="F86" t="inlineStr">
        <is>
          <t>ÖSTERGÖTLANDS LÄN</t>
        </is>
      </c>
      <c r="G86" t="inlineStr">
        <is>
          <t>VALDEMARSVIK</t>
        </is>
      </c>
      <c r="I86" t="n">
        <v>1.2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t="n">
        <v>0</v>
      </c>
      <c r="V86" s="2" t="inlineStr"/>
    </row>
    <row r="87" ht="15" customHeight="1">
      <c r="A87" t="inlineStr">
        <is>
          <t>A 10184-2025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45719</v>
      </c>
      <c r="E87" s="1" t="n">
        <v>46322</v>
      </c>
      <c r="F87" t="inlineStr">
        <is>
          <t>ÖSTERGÖTLANDS LÄN</t>
        </is>
      </c>
      <c r="G87" t="inlineStr">
        <is>
          <t>VALDEMARSVIK</t>
        </is>
      </c>
      <c r="I87" t="n">
        <v>1.3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t="n">
        <v>0</v>
      </c>
      <c r="V87" s="2" t="inlineStr"/>
    </row>
    <row r="88" ht="15" customHeight="1">
      <c r="A88" t="inlineStr">
        <is>
          <t>A 56830-2024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45628</v>
      </c>
      <c r="E88" s="1" t="n">
        <v>46322</v>
      </c>
      <c r="F88" t="inlineStr">
        <is>
          <t>ÖSTERGÖTLANDS LÄN</t>
        </is>
      </c>
      <c r="G88" t="inlineStr">
        <is>
          <t>VALDEMARSVIK</t>
        </is>
      </c>
      <c r="I88" t="n">
        <v>8.199999999999999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t="n">
        <v>0</v>
      </c>
      <c r="V88" s="2" t="inlineStr"/>
    </row>
    <row r="89" ht="15" customHeight="1">
      <c r="A89" t="inlineStr">
        <is>
          <t>A 41881-2023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45176</v>
      </c>
      <c r="E89" s="1" t="n">
        <v>46322</v>
      </c>
      <c r="F89" t="inlineStr">
        <is>
          <t>ÖSTERGÖTLANDS LÄN</t>
        </is>
      </c>
      <c r="G89" t="inlineStr">
        <is>
          <t>VALDEMARSVIK</t>
        </is>
      </c>
      <c r="I89" t="n">
        <v>2.1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t="n">
        <v>0</v>
      </c>
      <c r="V89" s="2" t="inlineStr"/>
    </row>
    <row r="90" ht="15" customHeight="1">
      <c r="A90" t="inlineStr">
        <is>
          <t>A 3280-2023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44949</v>
      </c>
      <c r="E90" s="1" t="n">
        <v>46322</v>
      </c>
      <c r="F90" t="inlineStr">
        <is>
          <t>ÖSTERGÖTLANDS LÄN</t>
        </is>
      </c>
      <c r="G90" t="inlineStr">
        <is>
          <t>VALDEMARSVIK</t>
        </is>
      </c>
      <c r="I90" t="n">
        <v>0.9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t="n">
        <v>0</v>
      </c>
      <c r="V90" s="2" t="inlineStr"/>
    </row>
    <row r="91" ht="15" customHeight="1">
      <c r="A91" t="inlineStr">
        <is>
          <t>A 27525-2026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46189</v>
      </c>
      <c r="E91" s="1" t="n">
        <v>46322</v>
      </c>
      <c r="F91" t="inlineStr">
        <is>
          <t>ÖSTERGÖTLANDS LÄN</t>
        </is>
      </c>
      <c r="G91" t="inlineStr">
        <is>
          <t>VALDEMARSVIK</t>
        </is>
      </c>
      <c r="I91" t="n">
        <v>1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t="n">
        <v>0</v>
      </c>
      <c r="V91" s="2" t="inlineStr"/>
    </row>
    <row r="92" ht="15" customHeight="1">
      <c r="A92" t="inlineStr">
        <is>
          <t>A 6022-2024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45336</v>
      </c>
      <c r="E92" s="1" t="n">
        <v>46322</v>
      </c>
      <c r="F92" t="inlineStr">
        <is>
          <t>ÖSTERGÖTLANDS LÄN</t>
        </is>
      </c>
      <c r="G92" t="inlineStr">
        <is>
          <t>VALDEMARSVIK</t>
        </is>
      </c>
      <c r="I92" t="n">
        <v>1.1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t="n">
        <v>0</v>
      </c>
      <c r="V92" s="2" t="inlineStr"/>
    </row>
    <row r="93" ht="15" customHeight="1">
      <c r="A93" t="inlineStr">
        <is>
          <t>A 1423-2022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44573</v>
      </c>
      <c r="E93" s="1" t="n">
        <v>46322</v>
      </c>
      <c r="F93" t="inlineStr">
        <is>
          <t>ÖSTERGÖTLANDS LÄN</t>
        </is>
      </c>
      <c r="G93" t="inlineStr">
        <is>
          <t>VALDEMARSVIK</t>
        </is>
      </c>
      <c r="I93" t="n">
        <v>1.3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t="n">
        <v>0</v>
      </c>
      <c r="V93" s="2" t="inlineStr"/>
    </row>
    <row r="94" ht="15" customHeight="1">
      <c r="A94" t="inlineStr">
        <is>
          <t>A 47205-2023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45202</v>
      </c>
      <c r="E94" s="1" t="n">
        <v>46322</v>
      </c>
      <c r="F94" t="inlineStr">
        <is>
          <t>ÖSTERGÖTLANDS LÄN</t>
        </is>
      </c>
      <c r="G94" t="inlineStr">
        <is>
          <t>VALDEMARSVIK</t>
        </is>
      </c>
      <c r="I94" t="n">
        <v>4.4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t="n">
        <v>0</v>
      </c>
      <c r="V94" s="2" t="inlineStr"/>
    </row>
    <row r="95" ht="15" customHeight="1">
      <c r="A95" t="inlineStr">
        <is>
          <t>A 43225-2022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44833</v>
      </c>
      <c r="E95" s="1" t="n">
        <v>46322</v>
      </c>
      <c r="F95" t="inlineStr">
        <is>
          <t>ÖSTERGÖTLANDS LÄN</t>
        </is>
      </c>
      <c r="G95" t="inlineStr">
        <is>
          <t>VALDEMARSVIK</t>
        </is>
      </c>
      <c r="I95" t="n">
        <v>0.6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t="n">
        <v>0</v>
      </c>
      <c r="V95" s="2" t="inlineStr"/>
    </row>
    <row r="96" ht="15" customHeight="1">
      <c r="A96" t="inlineStr">
        <is>
          <t>A 47959-2023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45204</v>
      </c>
      <c r="E96" s="1" t="n">
        <v>46322</v>
      </c>
      <c r="F96" t="inlineStr">
        <is>
          <t>ÖSTERGÖTLANDS LÄN</t>
        </is>
      </c>
      <c r="G96" t="inlineStr">
        <is>
          <t>VALDEMARSVIK</t>
        </is>
      </c>
      <c r="I96" t="n">
        <v>0.4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t="n">
        <v>0</v>
      </c>
      <c r="V96" s="2" t="inlineStr"/>
    </row>
    <row r="97" ht="15" customHeight="1">
      <c r="A97" t="inlineStr">
        <is>
          <t>A 44559-2023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45183</v>
      </c>
      <c r="E97" s="1" t="n">
        <v>46322</v>
      </c>
      <c r="F97" t="inlineStr">
        <is>
          <t>ÖSTERGÖTLANDS LÄN</t>
        </is>
      </c>
      <c r="G97" t="inlineStr">
        <is>
          <t>VALDEMARSVIK</t>
        </is>
      </c>
      <c r="I97" t="n">
        <v>0.9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t="n">
        <v>0</v>
      </c>
      <c r="V97" s="2" t="inlineStr"/>
    </row>
    <row r="98" ht="15" customHeight="1">
      <c r="A98" t="inlineStr">
        <is>
          <t>A 44565-2023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45183</v>
      </c>
      <c r="E98" s="1" t="n">
        <v>46322</v>
      </c>
      <c r="F98" t="inlineStr">
        <is>
          <t>ÖSTERGÖTLANDS LÄN</t>
        </is>
      </c>
      <c r="G98" t="inlineStr">
        <is>
          <t>VALDEMARSVIK</t>
        </is>
      </c>
      <c r="I98" t="n">
        <v>1.3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t="n">
        <v>0</v>
      </c>
      <c r="V98" s="2" t="inlineStr"/>
    </row>
    <row r="99" ht="15" customHeight="1">
      <c r="A99" t="inlineStr">
        <is>
          <t>A 62914-2023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45271</v>
      </c>
      <c r="E99" s="1" t="n">
        <v>46322</v>
      </c>
      <c r="F99" t="inlineStr">
        <is>
          <t>ÖSTERGÖTLANDS LÄN</t>
        </is>
      </c>
      <c r="G99" t="inlineStr">
        <is>
          <t>VALDEMARSVIK</t>
        </is>
      </c>
      <c r="H99" t="inlineStr">
        <is>
          <t>Övriga Aktiebolag</t>
        </is>
      </c>
      <c r="I99" t="n">
        <v>11.1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t="n">
        <v>0</v>
      </c>
      <c r="V99" s="2" t="inlineStr"/>
    </row>
    <row r="100" ht="15" customHeight="1">
      <c r="A100" t="inlineStr">
        <is>
          <t>A 57862-2023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45247</v>
      </c>
      <c r="E100" s="1" t="n">
        <v>46322</v>
      </c>
      <c r="F100" t="inlineStr">
        <is>
          <t>ÖSTERGÖTLANDS LÄN</t>
        </is>
      </c>
      <c r="G100" t="inlineStr">
        <is>
          <t>VALDEMARSVIK</t>
        </is>
      </c>
      <c r="I100" t="n">
        <v>1.2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t="n">
        <v>0</v>
      </c>
      <c r="V100" s="2" t="inlineStr"/>
    </row>
    <row r="101" ht="15" customHeight="1">
      <c r="A101" t="inlineStr">
        <is>
          <t>A 4742-2022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44592</v>
      </c>
      <c r="E101" s="1" t="n">
        <v>46322</v>
      </c>
      <c r="F101" t="inlineStr">
        <is>
          <t>ÖSTERGÖTLANDS LÄN</t>
        </is>
      </c>
      <c r="G101" t="inlineStr">
        <is>
          <t>VALDEMARSVIK</t>
        </is>
      </c>
      <c r="I101" t="n">
        <v>11.6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t="n">
        <v>0</v>
      </c>
      <c r="V101" s="2" t="inlineStr"/>
    </row>
    <row r="102" ht="15" customHeight="1">
      <c r="A102" t="inlineStr">
        <is>
          <t>A 28119-2026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46195</v>
      </c>
      <c r="E102" s="1" t="n">
        <v>46322</v>
      </c>
      <c r="F102" t="inlineStr">
        <is>
          <t>ÖSTERGÖTLANDS LÄN</t>
        </is>
      </c>
      <c r="G102" t="inlineStr">
        <is>
          <t>VALDEMARSVIK</t>
        </is>
      </c>
      <c r="I102" t="n">
        <v>7.7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t="n">
        <v>0</v>
      </c>
      <c r="V102" s="2" t="inlineStr"/>
    </row>
    <row r="103" ht="15" customHeight="1">
      <c r="A103" t="inlineStr">
        <is>
          <t>A 28093-2026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46195</v>
      </c>
      <c r="E103" s="1" t="n">
        <v>46322</v>
      </c>
      <c r="F103" t="inlineStr">
        <is>
          <t>ÖSTERGÖTLANDS LÄN</t>
        </is>
      </c>
      <c r="G103" t="inlineStr">
        <is>
          <t>VALDEMARSVIK</t>
        </is>
      </c>
      <c r="I103" t="n">
        <v>0.7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t="n">
        <v>0</v>
      </c>
      <c r="V103" s="2" t="inlineStr"/>
    </row>
    <row r="104" ht="15" customHeight="1">
      <c r="A104" t="inlineStr">
        <is>
          <t>A 26939-2023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45093</v>
      </c>
      <c r="E104" s="1" t="n">
        <v>46322</v>
      </c>
      <c r="F104" t="inlineStr">
        <is>
          <t>ÖSTERGÖTLANDS LÄN</t>
        </is>
      </c>
      <c r="G104" t="inlineStr">
        <is>
          <t>VALDEMARSVIK</t>
        </is>
      </c>
      <c r="I104" t="n">
        <v>0.8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t="n">
        <v>0</v>
      </c>
      <c r="V104" s="2" t="inlineStr"/>
    </row>
    <row r="105" ht="15" customHeight="1">
      <c r="A105" t="inlineStr">
        <is>
          <t>A 58740-2025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45986</v>
      </c>
      <c r="E105" s="1" t="n">
        <v>46322</v>
      </c>
      <c r="F105" t="inlineStr">
        <is>
          <t>ÖSTERGÖTLANDS LÄN</t>
        </is>
      </c>
      <c r="G105" t="inlineStr">
        <is>
          <t>VALDEMARSVIK</t>
        </is>
      </c>
      <c r="I105" t="n">
        <v>0.3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t="n">
        <v>0</v>
      </c>
      <c r="V105" s="2" t="inlineStr"/>
    </row>
    <row r="106" ht="15" customHeight="1">
      <c r="A106" t="inlineStr">
        <is>
          <t>A 24367-2025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45797</v>
      </c>
      <c r="E106" s="1" t="n">
        <v>46322</v>
      </c>
      <c r="F106" t="inlineStr">
        <is>
          <t>ÖSTERGÖTLANDS LÄN</t>
        </is>
      </c>
      <c r="G106" t="inlineStr">
        <is>
          <t>VALDEMARSVIK</t>
        </is>
      </c>
      <c r="I106" t="n">
        <v>1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t="n">
        <v>0</v>
      </c>
      <c r="V106" s="2" t="inlineStr"/>
    </row>
    <row r="107" ht="15" customHeight="1">
      <c r="A107" t="inlineStr">
        <is>
          <t>A 58749-2025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45986</v>
      </c>
      <c r="E107" s="1" t="n">
        <v>46322</v>
      </c>
      <c r="F107" t="inlineStr">
        <is>
          <t>ÖSTERGÖTLANDS LÄN</t>
        </is>
      </c>
      <c r="G107" t="inlineStr">
        <is>
          <t>VALDEMARSVIK</t>
        </is>
      </c>
      <c r="I107" t="n">
        <v>1.1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t="n">
        <v>0</v>
      </c>
      <c r="V107" s="2" t="inlineStr"/>
    </row>
    <row r="108" ht="15" customHeight="1">
      <c r="A108" t="inlineStr">
        <is>
          <t>A 59479-2025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45989</v>
      </c>
      <c r="E108" s="1" t="n">
        <v>46322</v>
      </c>
      <c r="F108" t="inlineStr">
        <is>
          <t>ÖSTERGÖTLANDS LÄN</t>
        </is>
      </c>
      <c r="G108" t="inlineStr">
        <is>
          <t>VALDEMARSVIK</t>
        </is>
      </c>
      <c r="H108" t="inlineStr">
        <is>
          <t>Holmen skog AB</t>
        </is>
      </c>
      <c r="I108" t="n">
        <v>3.2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t="n">
        <v>0</v>
      </c>
      <c r="V108" s="2" t="inlineStr"/>
    </row>
    <row r="109" ht="15" customHeight="1">
      <c r="A109" t="inlineStr">
        <is>
          <t>A 59839-2025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45992</v>
      </c>
      <c r="E109" s="1" t="n">
        <v>46322</v>
      </c>
      <c r="F109" t="inlineStr">
        <is>
          <t>ÖSTERGÖTLANDS LÄN</t>
        </is>
      </c>
      <c r="G109" t="inlineStr">
        <is>
          <t>VALDEMARSVIK</t>
        </is>
      </c>
      <c r="I109" t="n">
        <v>2.2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t="n">
        <v>0</v>
      </c>
      <c r="V109" s="2" t="inlineStr"/>
    </row>
    <row r="110" ht="15" customHeight="1">
      <c r="A110" t="inlineStr">
        <is>
          <t>A 2336-2024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45310</v>
      </c>
      <c r="E110" s="1" t="n">
        <v>46322</v>
      </c>
      <c r="F110" t="inlineStr">
        <is>
          <t>ÖSTERGÖTLANDS LÄN</t>
        </is>
      </c>
      <c r="G110" t="inlineStr">
        <is>
          <t>VALDEMARSVIK</t>
        </is>
      </c>
      <c r="I110" t="n">
        <v>1.1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t="n">
        <v>0</v>
      </c>
      <c r="V110" s="2" t="inlineStr"/>
    </row>
    <row r="111" ht="15" customHeight="1">
      <c r="A111" t="inlineStr">
        <is>
          <t>A 37524-2023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45158</v>
      </c>
      <c r="E111" s="1" t="n">
        <v>46322</v>
      </c>
      <c r="F111" t="inlineStr">
        <is>
          <t>ÖSTERGÖTLANDS LÄN</t>
        </is>
      </c>
      <c r="G111" t="inlineStr">
        <is>
          <t>VALDEMARSVIK</t>
        </is>
      </c>
      <c r="I111" t="n">
        <v>0.4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t="n">
        <v>0</v>
      </c>
      <c r="V111" s="2" t="inlineStr"/>
    </row>
    <row r="112" ht="15" customHeight="1">
      <c r="A112" t="inlineStr">
        <is>
          <t>A 4946-2022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44593</v>
      </c>
      <c r="E112" s="1" t="n">
        <v>46322</v>
      </c>
      <c r="F112" t="inlineStr">
        <is>
          <t>ÖSTERGÖTLANDS LÄN</t>
        </is>
      </c>
      <c r="G112" t="inlineStr">
        <is>
          <t>VALDEMARSVIK</t>
        </is>
      </c>
      <c r="I112" t="n">
        <v>4.2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t="n">
        <v>0</v>
      </c>
      <c r="V112" s="2" t="inlineStr"/>
    </row>
    <row r="113" ht="15" customHeight="1">
      <c r="A113" t="inlineStr">
        <is>
          <t>A 60903-2025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45999</v>
      </c>
      <c r="E113" s="1" t="n">
        <v>46322</v>
      </c>
      <c r="F113" t="inlineStr">
        <is>
          <t>ÖSTERGÖTLANDS LÄN</t>
        </is>
      </c>
      <c r="G113" t="inlineStr">
        <is>
          <t>VALDEMARSVIK</t>
        </is>
      </c>
      <c r="H113" t="inlineStr">
        <is>
          <t>Holmen skog AB</t>
        </is>
      </c>
      <c r="I113" t="n">
        <v>3.6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t="n">
        <v>0</v>
      </c>
      <c r="V113" s="2" t="inlineStr"/>
    </row>
    <row r="114" ht="15" customHeight="1">
      <c r="A114" t="inlineStr">
        <is>
          <t>A 60911-2025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45999</v>
      </c>
      <c r="E114" s="1" t="n">
        <v>46322</v>
      </c>
      <c r="F114" t="inlineStr">
        <is>
          <t>ÖSTERGÖTLANDS LÄN</t>
        </is>
      </c>
      <c r="G114" t="inlineStr">
        <is>
          <t>VALDEMARSVIK</t>
        </is>
      </c>
      <c r="H114" t="inlineStr">
        <is>
          <t>Holmen skog AB</t>
        </is>
      </c>
      <c r="I114" t="n">
        <v>0.8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t="n">
        <v>0</v>
      </c>
      <c r="V114" s="2" t="inlineStr"/>
    </row>
    <row r="115" ht="15" customHeight="1">
      <c r="A115" t="inlineStr">
        <is>
          <t>A 8143-2023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44974</v>
      </c>
      <c r="E115" s="1" t="n">
        <v>46322</v>
      </c>
      <c r="F115" t="inlineStr">
        <is>
          <t>ÖSTERGÖTLANDS LÄN</t>
        </is>
      </c>
      <c r="G115" t="inlineStr">
        <is>
          <t>VALDEMARSVIK</t>
        </is>
      </c>
      <c r="I115" t="n">
        <v>0.7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t="n">
        <v>0</v>
      </c>
      <c r="V115" s="2" t="inlineStr"/>
    </row>
    <row r="116" ht="15" customHeight="1">
      <c r="A116" t="inlineStr">
        <is>
          <t>A 17590-2023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45036</v>
      </c>
      <c r="E116" s="1" t="n">
        <v>46322</v>
      </c>
      <c r="F116" t="inlineStr">
        <is>
          <t>ÖSTERGÖTLANDS LÄN</t>
        </is>
      </c>
      <c r="G116" t="inlineStr">
        <is>
          <t>VALDEMARSVIK</t>
        </is>
      </c>
      <c r="I116" t="n">
        <v>2.3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t="n">
        <v>0</v>
      </c>
      <c r="V116" s="2" t="inlineStr"/>
    </row>
    <row r="117" ht="15" customHeight="1">
      <c r="A117" t="inlineStr">
        <is>
          <t>A 62239-2025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46006</v>
      </c>
      <c r="E117" s="1" t="n">
        <v>46322</v>
      </c>
      <c r="F117" t="inlineStr">
        <is>
          <t>ÖSTERGÖTLANDS LÄN</t>
        </is>
      </c>
      <c r="G117" t="inlineStr">
        <is>
          <t>VALDEMARSVIK</t>
        </is>
      </c>
      <c r="I117" t="n">
        <v>0.5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t="n">
        <v>0</v>
      </c>
      <c r="V117" s="2" t="inlineStr"/>
    </row>
    <row r="118" ht="15" customHeight="1">
      <c r="A118" t="inlineStr">
        <is>
          <t>A 35659-2022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44799</v>
      </c>
      <c r="E118" s="1" t="n">
        <v>46322</v>
      </c>
      <c r="F118" t="inlineStr">
        <is>
          <t>ÖSTERGÖTLANDS LÄN</t>
        </is>
      </c>
      <c r="G118" t="inlineStr">
        <is>
          <t>VALDEMARSVIK</t>
        </is>
      </c>
      <c r="I118" t="n">
        <v>0.8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t="n">
        <v>0</v>
      </c>
      <c r="V118" s="2" t="inlineStr"/>
    </row>
    <row r="119" ht="15" customHeight="1">
      <c r="A119" t="inlineStr">
        <is>
          <t>A 62238-2025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46006</v>
      </c>
      <c r="E119" s="1" t="n">
        <v>46322</v>
      </c>
      <c r="F119" t="inlineStr">
        <is>
          <t>ÖSTERGÖTLANDS LÄN</t>
        </is>
      </c>
      <c r="G119" t="inlineStr">
        <is>
          <t>VALDEMARSVIK</t>
        </is>
      </c>
      <c r="I119" t="n">
        <v>1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t="n">
        <v>0</v>
      </c>
      <c r="V119" s="2" t="inlineStr"/>
    </row>
    <row r="120" ht="15" customHeight="1">
      <c r="A120" t="inlineStr">
        <is>
          <t>A 58262-2022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44894</v>
      </c>
      <c r="E120" s="1" t="n">
        <v>46322</v>
      </c>
      <c r="F120" t="inlineStr">
        <is>
          <t>ÖSTERGÖTLANDS LÄN</t>
        </is>
      </c>
      <c r="G120" t="inlineStr">
        <is>
          <t>VALDEMARSVIK</t>
        </is>
      </c>
      <c r="I120" t="n">
        <v>1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t="n">
        <v>0</v>
      </c>
      <c r="V120" s="2" t="inlineStr"/>
    </row>
    <row r="121" ht="15" customHeight="1">
      <c r="A121" t="inlineStr">
        <is>
          <t>A 4027-2022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44587</v>
      </c>
      <c r="E121" s="1" t="n">
        <v>46322</v>
      </c>
      <c r="F121" t="inlineStr">
        <is>
          <t>ÖSTERGÖTLANDS LÄN</t>
        </is>
      </c>
      <c r="G121" t="inlineStr">
        <is>
          <t>VALDEMARSVIK</t>
        </is>
      </c>
      <c r="I121" t="n">
        <v>6.3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t="n">
        <v>0</v>
      </c>
      <c r="V121" s="2" t="inlineStr"/>
    </row>
    <row r="122" ht="15" customHeight="1">
      <c r="A122" t="inlineStr">
        <is>
          <t>A 28997-2022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44749</v>
      </c>
      <c r="E122" s="1" t="n">
        <v>46322</v>
      </c>
      <c r="F122" t="inlineStr">
        <is>
          <t>ÖSTERGÖTLANDS LÄN</t>
        </is>
      </c>
      <c r="G122" t="inlineStr">
        <is>
          <t>VALDEMARSVIK</t>
        </is>
      </c>
      <c r="I122" t="n">
        <v>6.6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t="n">
        <v>0</v>
      </c>
      <c r="V122" s="2" t="inlineStr"/>
    </row>
    <row r="123" ht="15" customHeight="1">
      <c r="A123" t="inlineStr">
        <is>
          <t>A 63826-2025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46020</v>
      </c>
      <c r="E123" s="1" t="n">
        <v>46322</v>
      </c>
      <c r="F123" t="inlineStr">
        <is>
          <t>ÖSTERGÖTLANDS LÄN</t>
        </is>
      </c>
      <c r="G123" t="inlineStr">
        <is>
          <t>VALDEMARSVIK</t>
        </is>
      </c>
      <c r="I123" t="n">
        <v>0.6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t="n">
        <v>0</v>
      </c>
      <c r="V123" s="2" t="inlineStr"/>
    </row>
    <row r="124" ht="15" customHeight="1">
      <c r="A124" t="inlineStr">
        <is>
          <t>A 63954-2025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46020</v>
      </c>
      <c r="E124" s="1" t="n">
        <v>46322</v>
      </c>
      <c r="F124" t="inlineStr">
        <is>
          <t>ÖSTERGÖTLANDS LÄN</t>
        </is>
      </c>
      <c r="G124" t="inlineStr">
        <is>
          <t>VALDEMARSVIK</t>
        </is>
      </c>
      <c r="I124" t="n">
        <v>2.1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t="n">
        <v>0</v>
      </c>
      <c r="V124" s="2" t="inlineStr"/>
    </row>
    <row r="125" ht="15" customHeight="1">
      <c r="A125" t="inlineStr">
        <is>
          <t>A 63779-2025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46019</v>
      </c>
      <c r="E125" s="1" t="n">
        <v>46322</v>
      </c>
      <c r="F125" t="inlineStr">
        <is>
          <t>ÖSTERGÖTLANDS LÄN</t>
        </is>
      </c>
      <c r="G125" t="inlineStr">
        <is>
          <t>VALDEMARSVIK</t>
        </is>
      </c>
      <c r="I125" t="n">
        <v>0.4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t="n">
        <v>0</v>
      </c>
      <c r="V125" s="2" t="inlineStr"/>
    </row>
    <row r="126" ht="15" customHeight="1">
      <c r="A126" t="inlineStr">
        <is>
          <t>A 15648-2024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45404</v>
      </c>
      <c r="E126" s="1" t="n">
        <v>46322</v>
      </c>
      <c r="F126" t="inlineStr">
        <is>
          <t>ÖSTERGÖTLANDS LÄN</t>
        </is>
      </c>
      <c r="G126" t="inlineStr">
        <is>
          <t>VALDEMARSVIK</t>
        </is>
      </c>
      <c r="I126" t="n">
        <v>6.2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t="n">
        <v>0</v>
      </c>
      <c r="V126" s="2" t="inlineStr"/>
    </row>
    <row r="127" ht="15" customHeight="1">
      <c r="A127" t="inlineStr">
        <is>
          <t>A 63957-2025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46020</v>
      </c>
      <c r="E127" s="1" t="n">
        <v>46322</v>
      </c>
      <c r="F127" t="inlineStr">
        <is>
          <t>ÖSTERGÖTLANDS LÄN</t>
        </is>
      </c>
      <c r="G127" t="inlineStr">
        <is>
          <t>VALDEMARSVIK</t>
        </is>
      </c>
      <c r="I127" t="n">
        <v>1.9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t="n">
        <v>0</v>
      </c>
      <c r="V127" s="2" t="inlineStr"/>
    </row>
    <row r="128" ht="15" customHeight="1">
      <c r="A128" t="inlineStr">
        <is>
          <t>A 56303-2024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45624</v>
      </c>
      <c r="E128" s="1" t="n">
        <v>46322</v>
      </c>
      <c r="F128" t="inlineStr">
        <is>
          <t>ÖSTERGÖTLANDS LÄN</t>
        </is>
      </c>
      <c r="G128" t="inlineStr">
        <is>
          <t>VALDEMARSVIK</t>
        </is>
      </c>
      <c r="I128" t="n">
        <v>1.3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0</v>
      </c>
      <c r="U128" t="n">
        <v>0</v>
      </c>
      <c r="V128" s="2" t="inlineStr"/>
    </row>
    <row r="129" ht="15" customHeight="1">
      <c r="A129" t="inlineStr">
        <is>
          <t>A 290-2026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46027</v>
      </c>
      <c r="E129" s="1" t="n">
        <v>46322</v>
      </c>
      <c r="F129" t="inlineStr">
        <is>
          <t>ÖSTERGÖTLANDS LÄN</t>
        </is>
      </c>
      <c r="G129" t="inlineStr">
        <is>
          <t>VALDEMARSVIK</t>
        </is>
      </c>
      <c r="I129" t="n">
        <v>3.2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t="n">
        <v>0</v>
      </c>
      <c r="V129" s="2" t="inlineStr"/>
    </row>
    <row r="130" ht="15" customHeight="1">
      <c r="A130" t="inlineStr">
        <is>
          <t>A 286-2026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46027</v>
      </c>
      <c r="E130" s="1" t="n">
        <v>46322</v>
      </c>
      <c r="F130" t="inlineStr">
        <is>
          <t>ÖSTERGÖTLANDS LÄN</t>
        </is>
      </c>
      <c r="G130" t="inlineStr">
        <is>
          <t>VALDEMARSVIK</t>
        </is>
      </c>
      <c r="I130" t="n">
        <v>3.5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t="n">
        <v>0</v>
      </c>
      <c r="V130" s="2" t="inlineStr"/>
    </row>
    <row r="131" ht="15" customHeight="1">
      <c r="A131" t="inlineStr">
        <is>
          <t>A 275-2026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46027</v>
      </c>
      <c r="E131" s="1" t="n">
        <v>46322</v>
      </c>
      <c r="F131" t="inlineStr">
        <is>
          <t>ÖSTERGÖTLANDS LÄN</t>
        </is>
      </c>
      <c r="G131" t="inlineStr">
        <is>
          <t>VALDEMARSVIK</t>
        </is>
      </c>
      <c r="I131" t="n">
        <v>2.1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t="n">
        <v>0</v>
      </c>
      <c r="V131" s="2" t="inlineStr"/>
    </row>
    <row r="132" ht="15" customHeight="1">
      <c r="A132" t="inlineStr">
        <is>
          <t>A 560-2026</t>
        </is>
      </c>
      <c r="B132" t="inlineStr">
        <is>
          <t>avverkningsanmälan</t>
        </is>
      </c>
      <c r="C132" t="inlineStr">
        <is>
          <t>Föryngringsavverkning</t>
        </is>
      </c>
      <c r="D132" s="1" t="n">
        <v>46029</v>
      </c>
      <c r="E132" s="1" t="n">
        <v>46322</v>
      </c>
      <c r="F132" t="inlineStr">
        <is>
          <t>ÖSTERGÖTLANDS LÄN</t>
        </is>
      </c>
      <c r="G132" t="inlineStr">
        <is>
          <t>VALDEMARSVIK</t>
        </is>
      </c>
      <c r="H132" t="inlineStr">
        <is>
          <t>Holmen skog AB</t>
        </is>
      </c>
      <c r="I132" t="n">
        <v>0.9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t="n">
        <v>0</v>
      </c>
      <c r="V132" s="2" t="inlineStr"/>
    </row>
    <row r="133" ht="15" customHeight="1">
      <c r="A133" t="inlineStr">
        <is>
          <t>A 3267-2023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44949</v>
      </c>
      <c r="E133" s="1" t="n">
        <v>46322</v>
      </c>
      <c r="F133" t="inlineStr">
        <is>
          <t>ÖSTERGÖTLANDS LÄN</t>
        </is>
      </c>
      <c r="G133" t="inlineStr">
        <is>
          <t>VALDEMARSVIK</t>
        </is>
      </c>
      <c r="I133" t="n">
        <v>0.6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t="n">
        <v>0</v>
      </c>
      <c r="V133" s="2" t="inlineStr"/>
    </row>
    <row r="134" ht="15" customHeight="1">
      <c r="A134" t="inlineStr">
        <is>
          <t>A 50606-2024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45601</v>
      </c>
      <c r="E134" s="1" t="n">
        <v>46322</v>
      </c>
      <c r="F134" t="inlineStr">
        <is>
          <t>ÖSTERGÖTLANDS LÄN</t>
        </is>
      </c>
      <c r="G134" t="inlineStr">
        <is>
          <t>VALDEMARSVIK</t>
        </is>
      </c>
      <c r="I134" t="n">
        <v>4.8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t="n">
        <v>0</v>
      </c>
      <c r="V134" s="2" t="inlineStr"/>
    </row>
    <row r="135" ht="15" customHeight="1">
      <c r="A135" t="inlineStr">
        <is>
          <t>A 8890-2024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45357</v>
      </c>
      <c r="E135" s="1" t="n">
        <v>46322</v>
      </c>
      <c r="F135" t="inlineStr">
        <is>
          <t>ÖSTERGÖTLANDS LÄN</t>
        </is>
      </c>
      <c r="G135" t="inlineStr">
        <is>
          <t>VALDEMARSVIK</t>
        </is>
      </c>
      <c r="I135" t="n">
        <v>7.4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t="n">
        <v>0</v>
      </c>
      <c r="V135" s="2" t="inlineStr"/>
    </row>
    <row r="136" ht="15" customHeight="1">
      <c r="A136" t="inlineStr">
        <is>
          <t>A 260-2026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46027</v>
      </c>
      <c r="E136" s="1" t="n">
        <v>46322</v>
      </c>
      <c r="F136" t="inlineStr">
        <is>
          <t>ÖSTERGÖTLANDS LÄN</t>
        </is>
      </c>
      <c r="G136" t="inlineStr">
        <is>
          <t>VALDEMARSVIK</t>
        </is>
      </c>
      <c r="I136" t="n">
        <v>0.8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t="n">
        <v>0</v>
      </c>
      <c r="V136" s="2" t="inlineStr"/>
    </row>
    <row r="137" ht="15" customHeight="1">
      <c r="A137" t="inlineStr">
        <is>
          <t>A 17296-2023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45035</v>
      </c>
      <c r="E137" s="1" t="n">
        <v>46322</v>
      </c>
      <c r="F137" t="inlineStr">
        <is>
          <t>ÖSTERGÖTLANDS LÄN</t>
        </is>
      </c>
      <c r="G137" t="inlineStr">
        <is>
          <t>VALDEMARSVIK</t>
        </is>
      </c>
      <c r="H137" t="inlineStr">
        <is>
          <t>Holmen skog AB</t>
        </is>
      </c>
      <c r="I137" t="n">
        <v>1.5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t="n">
        <v>0</v>
      </c>
      <c r="V137" s="2" t="inlineStr"/>
    </row>
    <row r="138" ht="15" customHeight="1">
      <c r="A138" t="inlineStr">
        <is>
          <t>A 1620-2023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44937</v>
      </c>
      <c r="E138" s="1" t="n">
        <v>46322</v>
      </c>
      <c r="F138" t="inlineStr">
        <is>
          <t>ÖSTERGÖTLANDS LÄN</t>
        </is>
      </c>
      <c r="G138" t="inlineStr">
        <is>
          <t>VALDEMARSVIK</t>
        </is>
      </c>
      <c r="I138" t="n">
        <v>4.7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t="n">
        <v>0</v>
      </c>
      <c r="V138" s="2" t="inlineStr"/>
    </row>
    <row r="139" ht="15" customHeight="1">
      <c r="A139" t="inlineStr">
        <is>
          <t>A 1621-2023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44937</v>
      </c>
      <c r="E139" s="1" t="n">
        <v>46322</v>
      </c>
      <c r="F139" t="inlineStr">
        <is>
          <t>ÖSTERGÖTLANDS LÄN</t>
        </is>
      </c>
      <c r="G139" t="inlineStr">
        <is>
          <t>VALDEMARSVIK</t>
        </is>
      </c>
      <c r="I139" t="n">
        <v>1.3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t="n">
        <v>0</v>
      </c>
      <c r="V139" s="2" t="inlineStr"/>
    </row>
    <row r="140" ht="15" customHeight="1">
      <c r="A140" t="inlineStr">
        <is>
          <t>A 60285-2023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45258</v>
      </c>
      <c r="E140" s="1" t="n">
        <v>46322</v>
      </c>
      <c r="F140" t="inlineStr">
        <is>
          <t>ÖSTERGÖTLANDS LÄN</t>
        </is>
      </c>
      <c r="G140" t="inlineStr">
        <is>
          <t>VALDEMARSVIK</t>
        </is>
      </c>
      <c r="I140" t="n">
        <v>2.5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t="n">
        <v>0</v>
      </c>
      <c r="V140" s="2" t="inlineStr"/>
    </row>
    <row r="141" ht="15" customHeight="1">
      <c r="A141" t="inlineStr">
        <is>
          <t>A 22974-2025</t>
        </is>
      </c>
      <c r="B141" t="inlineStr">
        <is>
          <t>avverkningsanmälan</t>
        </is>
      </c>
      <c r="C141" t="inlineStr">
        <is>
          <t>Avverkning för att bevara och utveckla /försöksver</t>
        </is>
      </c>
      <c r="D141" s="1" t="n">
        <v>45790</v>
      </c>
      <c r="E141" s="1" t="n">
        <v>46322</v>
      </c>
      <c r="F141" t="inlineStr">
        <is>
          <t>ÖSTERGÖTLANDS LÄN</t>
        </is>
      </c>
      <c r="G141" t="inlineStr">
        <is>
          <t>VALDEMARSVIK</t>
        </is>
      </c>
      <c r="I141" t="n">
        <v>6.6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t="n">
        <v>0</v>
      </c>
      <c r="V141" s="2" t="inlineStr"/>
    </row>
    <row r="142" ht="15" customHeight="1">
      <c r="A142" t="inlineStr">
        <is>
          <t>A 6580-2025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45699</v>
      </c>
      <c r="E142" s="1" t="n">
        <v>46322</v>
      </c>
      <c r="F142" t="inlineStr">
        <is>
          <t>ÖSTERGÖTLANDS LÄN</t>
        </is>
      </c>
      <c r="G142" t="inlineStr">
        <is>
          <t>VALDEMARSVIK</t>
        </is>
      </c>
      <c r="I142" t="n">
        <v>2.2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t="n">
        <v>0</v>
      </c>
      <c r="V142" s="2" t="inlineStr"/>
    </row>
    <row r="143" ht="15" customHeight="1">
      <c r="A143" t="inlineStr">
        <is>
          <t>A 6357-2023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44965</v>
      </c>
      <c r="E143" s="1" t="n">
        <v>46322</v>
      </c>
      <c r="F143" t="inlineStr">
        <is>
          <t>ÖSTERGÖTLANDS LÄN</t>
        </is>
      </c>
      <c r="G143" t="inlineStr">
        <is>
          <t>VALDEMARSVIK</t>
        </is>
      </c>
      <c r="I143" t="n">
        <v>0.5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t="n">
        <v>0</v>
      </c>
      <c r="V143" s="2" t="inlineStr"/>
    </row>
    <row r="144" ht="15" customHeight="1">
      <c r="A144" t="inlineStr">
        <is>
          <t>A 54765-2022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44883</v>
      </c>
      <c r="E144" s="1" t="n">
        <v>46322</v>
      </c>
      <c r="F144" t="inlineStr">
        <is>
          <t>ÖSTERGÖTLANDS LÄN</t>
        </is>
      </c>
      <c r="G144" t="inlineStr">
        <is>
          <t>VALDEMARSVIK</t>
        </is>
      </c>
      <c r="I144" t="n">
        <v>1.4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t="n">
        <v>0</v>
      </c>
      <c r="V144" s="2" t="inlineStr"/>
    </row>
    <row r="145" ht="15" customHeight="1">
      <c r="A145" t="inlineStr">
        <is>
          <t>A 41889-2023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45176</v>
      </c>
      <c r="E145" s="1" t="n">
        <v>46322</v>
      </c>
      <c r="F145" t="inlineStr">
        <is>
          <t>ÖSTERGÖTLANDS LÄN</t>
        </is>
      </c>
      <c r="G145" t="inlineStr">
        <is>
          <t>VALDEMARSVIK</t>
        </is>
      </c>
      <c r="I145" t="n">
        <v>3.2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t="n">
        <v>0</v>
      </c>
      <c r="V145" s="2" t="inlineStr"/>
    </row>
    <row r="146" ht="15" customHeight="1">
      <c r="A146" t="inlineStr">
        <is>
          <t>A 6160-2026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46055</v>
      </c>
      <c r="E146" s="1" t="n">
        <v>46322</v>
      </c>
      <c r="F146" t="inlineStr">
        <is>
          <t>ÖSTERGÖTLANDS LÄN</t>
        </is>
      </c>
      <c r="G146" t="inlineStr">
        <is>
          <t>VALDEMARSVIK</t>
        </is>
      </c>
      <c r="I146" t="n">
        <v>4.2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t="n">
        <v>0</v>
      </c>
      <c r="V146" s="2" t="inlineStr"/>
    </row>
    <row r="147" ht="15" customHeight="1">
      <c r="A147" t="inlineStr">
        <is>
          <t>A 6162-2026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46055</v>
      </c>
      <c r="E147" s="1" t="n">
        <v>46322</v>
      </c>
      <c r="F147" t="inlineStr">
        <is>
          <t>ÖSTERGÖTLANDS LÄN</t>
        </is>
      </c>
      <c r="G147" t="inlineStr">
        <is>
          <t>VALDEMARSVIK</t>
        </is>
      </c>
      <c r="I147" t="n">
        <v>1.9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t="n">
        <v>0</v>
      </c>
      <c r="V147" s="2" t="inlineStr"/>
    </row>
    <row r="148" ht="15" customHeight="1">
      <c r="A148" t="inlineStr">
        <is>
          <t>A 48158-2023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45205</v>
      </c>
      <c r="E148" s="1" t="n">
        <v>46322</v>
      </c>
      <c r="F148" t="inlineStr">
        <is>
          <t>ÖSTERGÖTLANDS LÄN</t>
        </is>
      </c>
      <c r="G148" t="inlineStr">
        <is>
          <t>VALDEMARSVIK</t>
        </is>
      </c>
      <c r="H148" t="inlineStr">
        <is>
          <t>Kommuner</t>
        </is>
      </c>
      <c r="I148" t="n">
        <v>1.9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t="n">
        <v>0</v>
      </c>
      <c r="V148" s="2" t="inlineStr"/>
    </row>
    <row r="149" ht="15" customHeight="1">
      <c r="A149" t="inlineStr">
        <is>
          <t>A 8965-2023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44979</v>
      </c>
      <c r="E149" s="1" t="n">
        <v>46322</v>
      </c>
      <c r="F149" t="inlineStr">
        <is>
          <t>ÖSTERGÖTLANDS LÄN</t>
        </is>
      </c>
      <c r="G149" t="inlineStr">
        <is>
          <t>VALDEMARSVIK</t>
        </is>
      </c>
      <c r="I149" t="n">
        <v>2.4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t="n">
        <v>0</v>
      </c>
      <c r="V149" s="2" t="inlineStr"/>
    </row>
    <row r="150" ht="15" customHeight="1">
      <c r="A150" t="inlineStr">
        <is>
          <t>A 6161-2026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46055</v>
      </c>
      <c r="E150" s="1" t="n">
        <v>46322</v>
      </c>
      <c r="F150" t="inlineStr">
        <is>
          <t>ÖSTERGÖTLANDS LÄN</t>
        </is>
      </c>
      <c r="G150" t="inlineStr">
        <is>
          <t>VALDEMARSVIK</t>
        </is>
      </c>
      <c r="I150" t="n">
        <v>2.9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t="n">
        <v>0</v>
      </c>
      <c r="V150" s="2" t="inlineStr"/>
    </row>
    <row r="151" ht="15" customHeight="1">
      <c r="A151" t="inlineStr">
        <is>
          <t>A 28259-2023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45099</v>
      </c>
      <c r="E151" s="1" t="n">
        <v>46322</v>
      </c>
      <c r="F151" t="inlineStr">
        <is>
          <t>ÖSTERGÖTLANDS LÄN</t>
        </is>
      </c>
      <c r="G151" t="inlineStr">
        <is>
          <t>VALDEMARSVIK</t>
        </is>
      </c>
      <c r="I151" t="n">
        <v>1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t="n">
        <v>0</v>
      </c>
      <c r="V151" s="2" t="inlineStr"/>
    </row>
    <row r="152" ht="15" customHeight="1">
      <c r="A152" t="inlineStr">
        <is>
          <t>A 2355-2023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44942</v>
      </c>
      <c r="E152" s="1" t="n">
        <v>46322</v>
      </c>
      <c r="F152" t="inlineStr">
        <is>
          <t>ÖSTERGÖTLANDS LÄN</t>
        </is>
      </c>
      <c r="G152" t="inlineStr">
        <is>
          <t>VALDEMARSVIK</t>
        </is>
      </c>
      <c r="I152" t="n">
        <v>0.6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t="n">
        <v>0</v>
      </c>
      <c r="V152" s="2" t="inlineStr"/>
    </row>
    <row r="153" ht="15" customHeight="1">
      <c r="A153" t="inlineStr">
        <is>
          <t>A 8678-2024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45354</v>
      </c>
      <c r="E153" s="1" t="n">
        <v>46322</v>
      </c>
      <c r="F153" t="inlineStr">
        <is>
          <t>ÖSTERGÖTLANDS LÄN</t>
        </is>
      </c>
      <c r="G153" t="inlineStr">
        <is>
          <t>VALDEMARSVIK</t>
        </is>
      </c>
      <c r="I153" t="n">
        <v>1.7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t="n">
        <v>0</v>
      </c>
      <c r="V153" s="2" t="inlineStr"/>
    </row>
    <row r="154" ht="15" customHeight="1">
      <c r="A154" t="inlineStr">
        <is>
          <t>A 57513-2022</t>
        </is>
      </c>
      <c r="B154" t="inlineStr">
        <is>
          <t>avverkningsanmälan</t>
        </is>
      </c>
      <c r="C154" t="inlineStr">
        <is>
          <t>Avverkning för annat ändamål</t>
        </is>
      </c>
      <c r="D154" s="1" t="n">
        <v>44896</v>
      </c>
      <c r="E154" s="1" t="n">
        <v>46322</v>
      </c>
      <c r="F154" t="inlineStr">
        <is>
          <t>ÖSTERGÖTLANDS LÄN</t>
        </is>
      </c>
      <c r="G154" t="inlineStr">
        <is>
          <t>VALDEMARSVIK</t>
        </is>
      </c>
      <c r="I154" t="n">
        <v>5.6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t="n">
        <v>0</v>
      </c>
      <c r="V154" s="2" t="inlineStr"/>
    </row>
    <row r="155" ht="15" customHeight="1">
      <c r="A155" t="inlineStr">
        <is>
          <t>A 8845-2026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46066</v>
      </c>
      <c r="E155" s="1" t="n">
        <v>46322</v>
      </c>
      <c r="F155" t="inlineStr">
        <is>
          <t>ÖSTERGÖTLANDS LÄN</t>
        </is>
      </c>
      <c r="G155" t="inlineStr">
        <is>
          <t>VALDEMARSVIK</t>
        </is>
      </c>
      <c r="I155" t="n">
        <v>3.1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t="n">
        <v>0</v>
      </c>
      <c r="V155" s="2" t="inlineStr"/>
    </row>
    <row r="156" ht="15" customHeight="1">
      <c r="A156" t="inlineStr">
        <is>
          <t>A 8818-2026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46066</v>
      </c>
      <c r="E156" s="1" t="n">
        <v>46322</v>
      </c>
      <c r="F156" t="inlineStr">
        <is>
          <t>ÖSTERGÖTLANDS LÄN</t>
        </is>
      </c>
      <c r="G156" t="inlineStr">
        <is>
          <t>VALDEMARSVIK</t>
        </is>
      </c>
      <c r="I156" t="n">
        <v>1.5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t="n">
        <v>0</v>
      </c>
      <c r="V156" s="2" t="inlineStr"/>
    </row>
    <row r="157" ht="15" customHeight="1">
      <c r="A157" t="inlineStr">
        <is>
          <t>A 8823-2026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46066</v>
      </c>
      <c r="E157" s="1" t="n">
        <v>46322</v>
      </c>
      <c r="F157" t="inlineStr">
        <is>
          <t>ÖSTERGÖTLANDS LÄN</t>
        </is>
      </c>
      <c r="G157" t="inlineStr">
        <is>
          <t>VALDEMARSVIK</t>
        </is>
      </c>
      <c r="I157" t="n">
        <v>1.4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t="n">
        <v>0</v>
      </c>
      <c r="V157" s="2" t="inlineStr"/>
    </row>
    <row r="158" ht="15" customHeight="1">
      <c r="A158" t="inlineStr">
        <is>
          <t>A 8822-2026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46066</v>
      </c>
      <c r="E158" s="1" t="n">
        <v>46322</v>
      </c>
      <c r="F158" t="inlineStr">
        <is>
          <t>ÖSTERGÖTLANDS LÄN</t>
        </is>
      </c>
      <c r="G158" t="inlineStr">
        <is>
          <t>VALDEMARSVIK</t>
        </is>
      </c>
      <c r="I158" t="n">
        <v>0.7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t="n">
        <v>0</v>
      </c>
      <c r="V158" s="2" t="inlineStr"/>
    </row>
    <row r="159" ht="15" customHeight="1">
      <c r="A159" t="inlineStr">
        <is>
          <t>A 26811-2023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45093</v>
      </c>
      <c r="E159" s="1" t="n">
        <v>46322</v>
      </c>
      <c r="F159" t="inlineStr">
        <is>
          <t>ÖSTERGÖTLANDS LÄN</t>
        </is>
      </c>
      <c r="G159" t="inlineStr">
        <is>
          <t>VALDEMARSVIK</t>
        </is>
      </c>
      <c r="I159" t="n">
        <v>4.4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t="n">
        <v>0</v>
      </c>
      <c r="V159" s="2" t="inlineStr"/>
    </row>
    <row r="160" ht="15" customHeight="1">
      <c r="A160" t="inlineStr">
        <is>
          <t>A 30964-2026</t>
        </is>
      </c>
      <c r="B160" t="inlineStr">
        <is>
          <t>avverkningsanmälan</t>
        </is>
      </c>
      <c r="C160" t="inlineStr">
        <is>
          <t>Avverkning för att bevara och utveckla /försöksver</t>
        </is>
      </c>
      <c r="D160" s="1" t="n">
        <v>46213</v>
      </c>
      <c r="E160" s="1" t="n">
        <v>46322</v>
      </c>
      <c r="F160" t="inlineStr">
        <is>
          <t>ÖSTERGÖTLANDS LÄN</t>
        </is>
      </c>
      <c r="G160" t="inlineStr">
        <is>
          <t>VALDEMARSVIK</t>
        </is>
      </c>
      <c r="I160" t="n">
        <v>2.8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t="n">
        <v>0</v>
      </c>
      <c r="V160" s="2" t="inlineStr"/>
    </row>
    <row r="161" ht="15" customHeight="1">
      <c r="A161" t="inlineStr">
        <is>
          <t>A 26821-2023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45093</v>
      </c>
      <c r="E161" s="1" t="n">
        <v>46322</v>
      </c>
      <c r="F161" t="inlineStr">
        <is>
          <t>ÖSTERGÖTLANDS LÄN</t>
        </is>
      </c>
      <c r="G161" t="inlineStr">
        <is>
          <t>VALDEMARSVIK</t>
        </is>
      </c>
      <c r="I161" t="n">
        <v>1.7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t="n">
        <v>0</v>
      </c>
      <c r="V161" s="2" t="inlineStr"/>
    </row>
    <row r="162" ht="15" customHeight="1">
      <c r="A162" t="inlineStr">
        <is>
          <t>A 3533-2022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44585</v>
      </c>
      <c r="E162" s="1" t="n">
        <v>46322</v>
      </c>
      <c r="F162" t="inlineStr">
        <is>
          <t>ÖSTERGÖTLANDS LÄN</t>
        </is>
      </c>
      <c r="G162" t="inlineStr">
        <is>
          <t>VALDEMARSVIK</t>
        </is>
      </c>
      <c r="I162" t="n">
        <v>0.7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t="n">
        <v>0</v>
      </c>
      <c r="V162" s="2" t="inlineStr"/>
    </row>
    <row r="163" ht="15" customHeight="1">
      <c r="A163" t="inlineStr">
        <is>
          <t>A 10575-2026</t>
        </is>
      </c>
      <c r="B163" t="inlineStr">
        <is>
          <t>avverkningsanmälan</t>
        </is>
      </c>
      <c r="C163" t="inlineStr">
        <is>
          <t>Föryngringsavverkning</t>
        </is>
      </c>
      <c r="D163" s="1" t="n">
        <v>46077</v>
      </c>
      <c r="E163" s="1" t="n">
        <v>46322</v>
      </c>
      <c r="F163" t="inlineStr">
        <is>
          <t>ÖSTERGÖTLANDS LÄN</t>
        </is>
      </c>
      <c r="G163" t="inlineStr">
        <is>
          <t>VALDEMARSVIK</t>
        </is>
      </c>
      <c r="I163" t="n">
        <v>1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t="n">
        <v>0</v>
      </c>
      <c r="V163" s="2" t="inlineStr"/>
    </row>
    <row r="164" ht="15" customHeight="1">
      <c r="A164" t="inlineStr">
        <is>
          <t>A 58979-2022</t>
        </is>
      </c>
      <c r="B164" t="inlineStr">
        <is>
          <t>avverkningsanmälan</t>
        </is>
      </c>
      <c r="C164" t="inlineStr">
        <is>
          <t>Föryngringsavverkning</t>
        </is>
      </c>
      <c r="D164" s="1" t="n">
        <v>44903</v>
      </c>
      <c r="E164" s="1" t="n">
        <v>46322</v>
      </c>
      <c r="F164" t="inlineStr">
        <is>
          <t>ÖSTERGÖTLANDS LÄN</t>
        </is>
      </c>
      <c r="G164" t="inlineStr">
        <is>
          <t>VALDEMARSVIK</t>
        </is>
      </c>
      <c r="I164" t="n">
        <v>0.6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t="n">
        <v>0</v>
      </c>
      <c r="V164" s="2" t="inlineStr"/>
    </row>
    <row r="165" ht="15" customHeight="1">
      <c r="A165" t="inlineStr">
        <is>
          <t>A 9971-2023</t>
        </is>
      </c>
      <c r="B165" t="inlineStr">
        <is>
          <t>avverkningsanmälan</t>
        </is>
      </c>
      <c r="C165" t="inlineStr">
        <is>
          <t>Föryngringsavverkning</t>
        </is>
      </c>
      <c r="D165" s="1" t="n">
        <v>44985</v>
      </c>
      <c r="E165" s="1" t="n">
        <v>46322</v>
      </c>
      <c r="F165" t="inlineStr">
        <is>
          <t>ÖSTERGÖTLANDS LÄN</t>
        </is>
      </c>
      <c r="G165" t="inlineStr">
        <is>
          <t>VALDEMARSVIK</t>
        </is>
      </c>
      <c r="I165" t="n">
        <v>4.6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t="n">
        <v>0</v>
      </c>
      <c r="V165" s="2" t="inlineStr"/>
    </row>
    <row r="166" ht="15" customHeight="1">
      <c r="A166" t="inlineStr">
        <is>
          <t>A 29041-2024</t>
        </is>
      </c>
      <c r="B166" t="inlineStr">
        <is>
          <t>avverkningsanmälan</t>
        </is>
      </c>
      <c r="C166" t="inlineStr">
        <is>
          <t>Föryngringsavverkning</t>
        </is>
      </c>
      <c r="D166" s="1" t="n">
        <v>45481</v>
      </c>
      <c r="E166" s="1" t="n">
        <v>46322</v>
      </c>
      <c r="F166" t="inlineStr">
        <is>
          <t>ÖSTERGÖTLANDS LÄN</t>
        </is>
      </c>
      <c r="G166" t="inlineStr">
        <is>
          <t>VALDEMARSVIK</t>
        </is>
      </c>
      <c r="I166" t="n">
        <v>3.9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t="n">
        <v>0</v>
      </c>
      <c r="V166" s="2" t="inlineStr"/>
    </row>
    <row r="167" ht="15" customHeight="1">
      <c r="A167" t="inlineStr">
        <is>
          <t>A 53111-2023</t>
        </is>
      </c>
      <c r="B167" t="inlineStr">
        <is>
          <t>avverkningsanmälan</t>
        </is>
      </c>
      <c r="C167" t="inlineStr">
        <is>
          <t>Föryngringsavverkning</t>
        </is>
      </c>
      <c r="D167" s="1" t="n">
        <v>45228</v>
      </c>
      <c r="E167" s="1" t="n">
        <v>46322</v>
      </c>
      <c r="F167" t="inlineStr">
        <is>
          <t>ÖSTERGÖTLANDS LÄN</t>
        </is>
      </c>
      <c r="G167" t="inlineStr">
        <is>
          <t>VALDEMARSVIK</t>
        </is>
      </c>
      <c r="I167" t="n">
        <v>0.6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t="n">
        <v>0</v>
      </c>
      <c r="V167" s="2" t="inlineStr"/>
    </row>
    <row r="168" ht="15" customHeight="1">
      <c r="A168" t="inlineStr">
        <is>
          <t>A 39517-2023</t>
        </is>
      </c>
      <c r="B168" t="inlineStr">
        <is>
          <t>avverkningsanmälan</t>
        </is>
      </c>
      <c r="C168" t="inlineStr">
        <is>
          <t>Föryngringsavverkning</t>
        </is>
      </c>
      <c r="D168" s="1" t="n">
        <v>45167</v>
      </c>
      <c r="E168" s="1" t="n">
        <v>46322</v>
      </c>
      <c r="F168" t="inlineStr">
        <is>
          <t>ÖSTERGÖTLANDS LÄN</t>
        </is>
      </c>
      <c r="G168" t="inlineStr">
        <is>
          <t>VALDEMARSVIK</t>
        </is>
      </c>
      <c r="I168" t="n">
        <v>2.4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t="n">
        <v>0</v>
      </c>
      <c r="V168" s="2" t="inlineStr"/>
    </row>
    <row r="169" ht="15" customHeight="1">
      <c r="A169" t="inlineStr">
        <is>
          <t>A 57680-2022</t>
        </is>
      </c>
      <c r="B169" t="inlineStr">
        <is>
          <t>avverkningsanmälan</t>
        </is>
      </c>
      <c r="C169" t="inlineStr">
        <is>
          <t>Föryngringsavverkning</t>
        </is>
      </c>
      <c r="D169" s="1" t="n">
        <v>44897</v>
      </c>
      <c r="E169" s="1" t="n">
        <v>46322</v>
      </c>
      <c r="F169" t="inlineStr">
        <is>
          <t>ÖSTERGÖTLANDS LÄN</t>
        </is>
      </c>
      <c r="G169" t="inlineStr">
        <is>
          <t>VALDEMARSVIK</t>
        </is>
      </c>
      <c r="I169" t="n">
        <v>2.1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t="n">
        <v>0</v>
      </c>
      <c r="V169" s="2" t="inlineStr"/>
    </row>
    <row r="170" ht="15" customHeight="1">
      <c r="A170" t="inlineStr">
        <is>
          <t>A 40728-2023</t>
        </is>
      </c>
      <c r="B170" t="inlineStr">
        <is>
          <t>avverkningsanmälan</t>
        </is>
      </c>
      <c r="C170" t="inlineStr">
        <is>
          <t>Avverkning för att bevara och utveckla /försöksver</t>
        </is>
      </c>
      <c r="D170" s="1" t="n">
        <v>45170</v>
      </c>
      <c r="E170" s="1" t="n">
        <v>46322</v>
      </c>
      <c r="F170" t="inlineStr">
        <is>
          <t>ÖSTERGÖTLANDS LÄN</t>
        </is>
      </c>
      <c r="G170" t="inlineStr">
        <is>
          <t>VALDEMARSVIK</t>
        </is>
      </c>
      <c r="I170" t="n">
        <v>0.5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t="n">
        <v>0</v>
      </c>
      <c r="V170" s="2" t="inlineStr"/>
    </row>
    <row r="171" ht="15" customHeight="1">
      <c r="A171" t="inlineStr">
        <is>
          <t>A 18200-2025</t>
        </is>
      </c>
      <c r="B171" t="inlineStr">
        <is>
          <t>avverkningsanmälan</t>
        </is>
      </c>
      <c r="C171" t="inlineStr">
        <is>
          <t>Föryngringsavverkning</t>
        </is>
      </c>
      <c r="D171" s="1" t="n">
        <v>45761</v>
      </c>
      <c r="E171" s="1" t="n">
        <v>46322</v>
      </c>
      <c r="F171" t="inlineStr">
        <is>
          <t>ÖSTERGÖTLANDS LÄN</t>
        </is>
      </c>
      <c r="G171" t="inlineStr">
        <is>
          <t>VALDEMARSVIK</t>
        </is>
      </c>
      <c r="I171" t="n">
        <v>0.9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t="n">
        <v>0</v>
      </c>
      <c r="V171" s="2" t="inlineStr"/>
    </row>
    <row r="172" ht="15" customHeight="1">
      <c r="A172" t="inlineStr">
        <is>
          <t>A 16771-2024</t>
        </is>
      </c>
      <c r="B172" t="inlineStr">
        <is>
          <t>avverkningsanmälan</t>
        </is>
      </c>
      <c r="C172" t="inlineStr">
        <is>
          <t>Föryngringsavverkning</t>
        </is>
      </c>
      <c r="D172" s="1" t="n">
        <v>45411</v>
      </c>
      <c r="E172" s="1" t="n">
        <v>46322</v>
      </c>
      <c r="F172" t="inlineStr">
        <is>
          <t>ÖSTERGÖTLANDS LÄN</t>
        </is>
      </c>
      <c r="G172" t="inlineStr">
        <is>
          <t>VALDEMARSVIK</t>
        </is>
      </c>
      <c r="I172" t="n">
        <v>5.4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t="n">
        <v>0</v>
      </c>
      <c r="V172" s="2" t="inlineStr"/>
    </row>
    <row r="173" ht="15" customHeight="1">
      <c r="A173" t="inlineStr">
        <is>
          <t>A 4126-2025</t>
        </is>
      </c>
      <c r="B173" t="inlineStr">
        <is>
          <t>avverkningsanmälan</t>
        </is>
      </c>
      <c r="C173" t="inlineStr">
        <is>
          <t>Föryngringsavverkning</t>
        </is>
      </c>
      <c r="D173" s="1" t="n">
        <v>45685</v>
      </c>
      <c r="E173" s="1" t="n">
        <v>46322</v>
      </c>
      <c r="F173" t="inlineStr">
        <is>
          <t>ÖSTERGÖTLANDS LÄN</t>
        </is>
      </c>
      <c r="G173" t="inlineStr">
        <is>
          <t>VALDEMARSVIK</t>
        </is>
      </c>
      <c r="I173" t="n">
        <v>0.5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t="n">
        <v>0</v>
      </c>
      <c r="V173" s="2" t="inlineStr"/>
    </row>
    <row r="174" ht="15" customHeight="1">
      <c r="A174" t="inlineStr">
        <is>
          <t>A 58247-2024</t>
        </is>
      </c>
      <c r="B174" t="inlineStr">
        <is>
          <t>avverkningsanmälan</t>
        </is>
      </c>
      <c r="C174" t="inlineStr">
        <is>
          <t>Föryngringsavverkning</t>
        </is>
      </c>
      <c r="D174" s="1" t="n">
        <v>45632</v>
      </c>
      <c r="E174" s="1" t="n">
        <v>46322</v>
      </c>
      <c r="F174" t="inlineStr">
        <is>
          <t>ÖSTERGÖTLANDS LÄN</t>
        </is>
      </c>
      <c r="G174" t="inlineStr">
        <is>
          <t>VALDEMARSVIK</t>
        </is>
      </c>
      <c r="I174" t="n">
        <v>8.4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t="n">
        <v>0</v>
      </c>
      <c r="V174" s="2" t="inlineStr"/>
    </row>
    <row r="175" ht="15" customHeight="1">
      <c r="A175" t="inlineStr">
        <is>
          <t>A 15078-2026</t>
        </is>
      </c>
      <c r="B175" t="inlineStr">
        <is>
          <t>avverkningsanmälan</t>
        </is>
      </c>
      <c r="C175" t="inlineStr">
        <is>
          <t>Föryngringsavverkning</t>
        </is>
      </c>
      <c r="D175" s="1" t="n">
        <v>46105</v>
      </c>
      <c r="E175" s="1" t="n">
        <v>46322</v>
      </c>
      <c r="F175" t="inlineStr">
        <is>
          <t>ÖSTERGÖTLANDS LÄN</t>
        </is>
      </c>
      <c r="G175" t="inlineStr">
        <is>
          <t>VALDEMARSVIK</t>
        </is>
      </c>
      <c r="I175" t="n">
        <v>2.1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t="n">
        <v>0</v>
      </c>
      <c r="V175" s="2" t="inlineStr"/>
    </row>
    <row r="176" ht="15" customHeight="1">
      <c r="A176" t="inlineStr">
        <is>
          <t>A 15138-2026</t>
        </is>
      </c>
      <c r="B176" t="inlineStr">
        <is>
          <t>avverkningsanmälan</t>
        </is>
      </c>
      <c r="C176" t="inlineStr">
        <is>
          <t>Föryngringsavverkning</t>
        </is>
      </c>
      <c r="D176" s="1" t="n">
        <v>46105</v>
      </c>
      <c r="E176" s="1" t="n">
        <v>46322</v>
      </c>
      <c r="F176" t="inlineStr">
        <is>
          <t>ÖSTERGÖTLANDS LÄN</t>
        </is>
      </c>
      <c r="G176" t="inlineStr">
        <is>
          <t>VALDEMARSVIK</t>
        </is>
      </c>
      <c r="I176" t="n">
        <v>1.9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t="n">
        <v>0</v>
      </c>
      <c r="V176" s="2" t="inlineStr"/>
    </row>
    <row r="177" ht="15" customHeight="1">
      <c r="A177" t="inlineStr">
        <is>
          <t>A 15096-2026</t>
        </is>
      </c>
      <c r="B177" t="inlineStr">
        <is>
          <t>avverkningsanmälan</t>
        </is>
      </c>
      <c r="C177" t="inlineStr">
        <is>
          <t>Föryngringsavverkning</t>
        </is>
      </c>
      <c r="D177" s="1" t="n">
        <v>46105</v>
      </c>
      <c r="E177" s="1" t="n">
        <v>46322</v>
      </c>
      <c r="F177" t="inlineStr">
        <is>
          <t>ÖSTERGÖTLANDS LÄN</t>
        </is>
      </c>
      <c r="G177" t="inlineStr">
        <is>
          <t>VALDEMARSVIK</t>
        </is>
      </c>
      <c r="I177" t="n">
        <v>4.8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t="n">
        <v>0</v>
      </c>
      <c r="V177" s="2" t="inlineStr"/>
    </row>
    <row r="178" ht="15" customHeight="1">
      <c r="A178" t="inlineStr">
        <is>
          <t>A 47219-2022</t>
        </is>
      </c>
      <c r="B178" t="inlineStr">
        <is>
          <t>avverkningsanmälan</t>
        </is>
      </c>
      <c r="C178" t="inlineStr">
        <is>
          <t>Föryngringsavverkning</t>
        </is>
      </c>
      <c r="D178" s="1" t="n">
        <v>44852</v>
      </c>
      <c r="E178" s="1" t="n">
        <v>46322</v>
      </c>
      <c r="F178" t="inlineStr">
        <is>
          <t>ÖSTERGÖTLANDS LÄN</t>
        </is>
      </c>
      <c r="G178" t="inlineStr">
        <is>
          <t>VALDEMARSVIK</t>
        </is>
      </c>
      <c r="I178" t="n">
        <v>0.8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t="n">
        <v>0</v>
      </c>
      <c r="V178" s="2" t="inlineStr"/>
    </row>
    <row r="179" ht="15" customHeight="1">
      <c r="A179" t="inlineStr">
        <is>
          <t>A 50148-2023</t>
        </is>
      </c>
      <c r="B179" t="inlineStr">
        <is>
          <t>avverkningsanmälan</t>
        </is>
      </c>
      <c r="C179" t="inlineStr">
        <is>
          <t>Föryngringsavverkning</t>
        </is>
      </c>
      <c r="D179" s="1" t="n">
        <v>45215</v>
      </c>
      <c r="E179" s="1" t="n">
        <v>46322</v>
      </c>
      <c r="F179" t="inlineStr">
        <is>
          <t>ÖSTERGÖTLANDS LÄN</t>
        </is>
      </c>
      <c r="G179" t="inlineStr">
        <is>
          <t>VALDEMARSVIK</t>
        </is>
      </c>
      <c r="I179" t="n">
        <v>0.9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t="n">
        <v>0</v>
      </c>
      <c r="V179" s="2" t="inlineStr"/>
    </row>
    <row r="180" ht="15" customHeight="1">
      <c r="A180" t="inlineStr">
        <is>
          <t>A 8328-2024</t>
        </is>
      </c>
      <c r="B180" t="inlineStr">
        <is>
          <t>avverkningsanmälan</t>
        </is>
      </c>
      <c r="C180" t="inlineStr">
        <is>
          <t>Föryngringsavverkning</t>
        </is>
      </c>
      <c r="D180" s="1" t="n">
        <v>45352</v>
      </c>
      <c r="E180" s="1" t="n">
        <v>46322</v>
      </c>
      <c r="F180" t="inlineStr">
        <is>
          <t>ÖSTERGÖTLANDS LÄN</t>
        </is>
      </c>
      <c r="G180" t="inlineStr">
        <is>
          <t>VALDEMARSVIK</t>
        </is>
      </c>
      <c r="I180" t="n">
        <v>3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t="n">
        <v>0</v>
      </c>
      <c r="V180" s="2" t="inlineStr"/>
    </row>
    <row r="181" ht="15" customHeight="1">
      <c r="A181" t="inlineStr">
        <is>
          <t>A 60288-2023</t>
        </is>
      </c>
      <c r="B181" t="inlineStr">
        <is>
          <t>avverkningsanmälan</t>
        </is>
      </c>
      <c r="C181" t="inlineStr">
        <is>
          <t>Föryngringsavverkning</t>
        </is>
      </c>
      <c r="D181" s="1" t="n">
        <v>45258</v>
      </c>
      <c r="E181" s="1" t="n">
        <v>46322</v>
      </c>
      <c r="F181" t="inlineStr">
        <is>
          <t>ÖSTERGÖTLANDS LÄN</t>
        </is>
      </c>
      <c r="G181" t="inlineStr">
        <is>
          <t>VALDEMARSVIK</t>
        </is>
      </c>
      <c r="I181" t="n">
        <v>1.1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t="n">
        <v>0</v>
      </c>
      <c r="V181" s="2" t="inlineStr"/>
    </row>
    <row r="182" ht="15" customHeight="1">
      <c r="A182" t="inlineStr">
        <is>
          <t>A 9292-2023</t>
        </is>
      </c>
      <c r="B182" t="inlineStr">
        <is>
          <t>avverkningsanmälan</t>
        </is>
      </c>
      <c r="C182" t="inlineStr">
        <is>
          <t>Föryngringsavverkning</t>
        </is>
      </c>
      <c r="D182" s="1" t="n">
        <v>44980</v>
      </c>
      <c r="E182" s="1" t="n">
        <v>46322</v>
      </c>
      <c r="F182" t="inlineStr">
        <is>
          <t>ÖSTERGÖTLANDS LÄN</t>
        </is>
      </c>
      <c r="G182" t="inlineStr">
        <is>
          <t>VALDEMARSVIK</t>
        </is>
      </c>
      <c r="I182" t="n">
        <v>6.4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t="n">
        <v>0</v>
      </c>
      <c r="V182" s="2" t="inlineStr"/>
    </row>
    <row r="183" ht="15" customHeight="1">
      <c r="A183" t="inlineStr">
        <is>
          <t>A 3894-2022</t>
        </is>
      </c>
      <c r="B183" t="inlineStr">
        <is>
          <t>avverkningsanmälan</t>
        </is>
      </c>
      <c r="C183" t="inlineStr">
        <is>
          <t>Föryngringsavverkning</t>
        </is>
      </c>
      <c r="D183" s="1" t="n">
        <v>44587</v>
      </c>
      <c r="E183" s="1" t="n">
        <v>46322</v>
      </c>
      <c r="F183" t="inlineStr">
        <is>
          <t>ÖSTERGÖTLANDS LÄN</t>
        </is>
      </c>
      <c r="G183" t="inlineStr">
        <is>
          <t>VALDEMARSVIK</t>
        </is>
      </c>
      <c r="I183" t="n">
        <v>1.1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t="n">
        <v>0</v>
      </c>
      <c r="V183" s="2" t="inlineStr"/>
    </row>
    <row r="184" ht="15" customHeight="1">
      <c r="A184" t="inlineStr">
        <is>
          <t>A 24234-2022</t>
        </is>
      </c>
      <c r="B184" t="inlineStr">
        <is>
          <t>avverkningsanmälan</t>
        </is>
      </c>
      <c r="C184" t="inlineStr">
        <is>
          <t>Föryngringsavverkning</t>
        </is>
      </c>
      <c r="D184" s="1" t="n">
        <v>44725</v>
      </c>
      <c r="E184" s="1" t="n">
        <v>46322</v>
      </c>
      <c r="F184" t="inlineStr">
        <is>
          <t>ÖSTERGÖTLANDS LÄN</t>
        </is>
      </c>
      <c r="G184" t="inlineStr">
        <is>
          <t>VALDEMARSVIK</t>
        </is>
      </c>
      <c r="I184" t="n">
        <v>1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0</v>
      </c>
      <c r="T184" t="n">
        <v>0</v>
      </c>
      <c r="U184" t="n">
        <v>0</v>
      </c>
      <c r="V184" s="2" t="inlineStr"/>
    </row>
    <row r="185" ht="15" customHeight="1">
      <c r="A185" t="inlineStr">
        <is>
          <t>A 19925-2024</t>
        </is>
      </c>
      <c r="B185" t="inlineStr">
        <is>
          <t>avverkningsanmälan</t>
        </is>
      </c>
      <c r="C185" t="inlineStr">
        <is>
          <t>Föryngringsavverkning</t>
        </is>
      </c>
      <c r="D185" s="1" t="n">
        <v>45433</v>
      </c>
      <c r="E185" s="1" t="n">
        <v>46322</v>
      </c>
      <c r="F185" t="inlineStr">
        <is>
          <t>ÖSTERGÖTLANDS LÄN</t>
        </is>
      </c>
      <c r="G185" t="inlineStr">
        <is>
          <t>VALDEMARSVIK</t>
        </is>
      </c>
      <c r="I185" t="n">
        <v>2.4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0</v>
      </c>
      <c r="U185" t="n">
        <v>0</v>
      </c>
      <c r="V185" s="2" t="inlineStr"/>
    </row>
    <row r="186" ht="15" customHeight="1">
      <c r="A186" t="inlineStr">
        <is>
          <t>A 21396-2025</t>
        </is>
      </c>
      <c r="B186" t="inlineStr">
        <is>
          <t>avverkningsanmälan</t>
        </is>
      </c>
      <c r="C186" t="inlineStr">
        <is>
          <t>Föryngringsavverkning</t>
        </is>
      </c>
      <c r="D186" s="1" t="n">
        <v>45782</v>
      </c>
      <c r="E186" s="1" t="n">
        <v>46322</v>
      </c>
      <c r="F186" t="inlineStr">
        <is>
          <t>ÖSTERGÖTLANDS LÄN</t>
        </is>
      </c>
      <c r="G186" t="inlineStr">
        <is>
          <t>VALDEMARSVIK</t>
        </is>
      </c>
      <c r="I186" t="n">
        <v>1.4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0</v>
      </c>
      <c r="T186" t="n">
        <v>0</v>
      </c>
      <c r="U186" t="n">
        <v>0</v>
      </c>
      <c r="V186" s="2" t="inlineStr"/>
    </row>
    <row r="187" ht="15" customHeight="1">
      <c r="A187" t="inlineStr">
        <is>
          <t>A 22297-2026</t>
        </is>
      </c>
      <c r="B187" t="inlineStr">
        <is>
          <t>avverkningsanmälan</t>
        </is>
      </c>
      <c r="C187" t="inlineStr">
        <is>
          <t>Föryngringsavverkning</t>
        </is>
      </c>
      <c r="D187" s="1" t="n">
        <v>46154</v>
      </c>
      <c r="E187" s="1" t="n">
        <v>46322</v>
      </c>
      <c r="F187" t="inlineStr">
        <is>
          <t>ÖSTERGÖTLANDS LÄN</t>
        </is>
      </c>
      <c r="G187" t="inlineStr">
        <is>
          <t>VALDEMARSVIK</t>
        </is>
      </c>
      <c r="I187" t="n">
        <v>1.5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0</v>
      </c>
      <c r="T187" t="n">
        <v>0</v>
      </c>
      <c r="U187" t="n">
        <v>0</v>
      </c>
      <c r="V187" s="2" t="inlineStr"/>
    </row>
    <row r="188" ht="15" customHeight="1">
      <c r="A188" t="inlineStr">
        <is>
          <t>A 23672-2025</t>
        </is>
      </c>
      <c r="B188" t="inlineStr">
        <is>
          <t>avverkningsanmälan</t>
        </is>
      </c>
      <c r="C188" t="inlineStr">
        <is>
          <t>Föryngringsavverkning</t>
        </is>
      </c>
      <c r="D188" s="1" t="n">
        <v>45793</v>
      </c>
      <c r="E188" s="1" t="n">
        <v>46322</v>
      </c>
      <c r="F188" t="inlineStr">
        <is>
          <t>ÖSTERGÖTLANDS LÄN</t>
        </is>
      </c>
      <c r="G188" t="inlineStr">
        <is>
          <t>VALDEMARSVIK</t>
        </is>
      </c>
      <c r="I188" t="n">
        <v>2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0</v>
      </c>
      <c r="T188" t="n">
        <v>0</v>
      </c>
      <c r="U188" t="n">
        <v>0</v>
      </c>
      <c r="V188" s="2" t="inlineStr"/>
    </row>
    <row r="189" ht="15" customHeight="1">
      <c r="A189" t="inlineStr">
        <is>
          <t>A 42623-2024</t>
        </is>
      </c>
      <c r="B189" t="inlineStr">
        <is>
          <t>avverkningsanmälan</t>
        </is>
      </c>
      <c r="C189" t="inlineStr">
        <is>
          <t>Föryngringsavverkning</t>
        </is>
      </c>
      <c r="D189" s="1" t="n">
        <v>45565</v>
      </c>
      <c r="E189" s="1" t="n">
        <v>46322</v>
      </c>
      <c r="F189" t="inlineStr">
        <is>
          <t>ÖSTERGÖTLANDS LÄN</t>
        </is>
      </c>
      <c r="G189" t="inlineStr">
        <is>
          <t>VALDEMARSVIK</t>
        </is>
      </c>
      <c r="I189" t="n">
        <v>0.8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t="n">
        <v>0</v>
      </c>
      <c r="V189" s="2" t="inlineStr"/>
    </row>
    <row r="190" ht="15" customHeight="1">
      <c r="A190" t="inlineStr">
        <is>
          <t>A 17937-2023</t>
        </is>
      </c>
      <c r="B190" t="inlineStr">
        <is>
          <t>avverkningsanmälan</t>
        </is>
      </c>
      <c r="C190" t="inlineStr">
        <is>
          <t>Föryngringsavverkning</t>
        </is>
      </c>
      <c r="D190" s="1" t="n">
        <v>45040</v>
      </c>
      <c r="E190" s="1" t="n">
        <v>46322</v>
      </c>
      <c r="F190" t="inlineStr">
        <is>
          <t>ÖSTERGÖTLANDS LÄN</t>
        </is>
      </c>
      <c r="G190" t="inlineStr">
        <is>
          <t>VALDEMARSVIK</t>
        </is>
      </c>
      <c r="H190" t="inlineStr">
        <is>
          <t>Holmen skog AB</t>
        </is>
      </c>
      <c r="I190" t="n">
        <v>1.2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t="n">
        <v>0</v>
      </c>
      <c r="V190" s="2" t="inlineStr"/>
    </row>
    <row r="191" ht="15" customHeight="1">
      <c r="A191" t="inlineStr">
        <is>
          <t>A 59838-2025</t>
        </is>
      </c>
      <c r="B191" t="inlineStr">
        <is>
          <t>avverkningsanmälan</t>
        </is>
      </c>
      <c r="C191" t="inlineStr">
        <is>
          <t>Föryngringsavverkning</t>
        </is>
      </c>
      <c r="D191" s="1" t="n">
        <v>45992</v>
      </c>
      <c r="E191" s="1" t="n">
        <v>46322</v>
      </c>
      <c r="F191" t="inlineStr">
        <is>
          <t>ÖSTERGÖTLANDS LÄN</t>
        </is>
      </c>
      <c r="G191" t="inlineStr">
        <is>
          <t>VALDEMARSVIK</t>
        </is>
      </c>
      <c r="I191" t="n">
        <v>2.2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t="n">
        <v>0</v>
      </c>
      <c r="V191" s="2" t="inlineStr"/>
    </row>
    <row r="192" ht="15" customHeight="1">
      <c r="A192" t="inlineStr">
        <is>
          <t>A 24972-2022</t>
        </is>
      </c>
      <c r="B192" t="inlineStr">
        <is>
          <t>avverkningsanmälan</t>
        </is>
      </c>
      <c r="C192" t="inlineStr">
        <is>
          <t>Föryngringsavverkning</t>
        </is>
      </c>
      <c r="D192" s="1" t="n">
        <v>44728</v>
      </c>
      <c r="E192" s="1" t="n">
        <v>46322</v>
      </c>
      <c r="F192" t="inlineStr">
        <is>
          <t>ÖSTERGÖTLANDS LÄN</t>
        </is>
      </c>
      <c r="G192" t="inlineStr">
        <is>
          <t>VALDEMARSVIK</t>
        </is>
      </c>
      <c r="I192" t="n">
        <v>1.5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t="n">
        <v>0</v>
      </c>
      <c r="V192" s="2" t="inlineStr"/>
    </row>
    <row r="193" ht="15" customHeight="1">
      <c r="A193" t="inlineStr">
        <is>
          <t>A 46186-2024</t>
        </is>
      </c>
      <c r="B193" t="inlineStr">
        <is>
          <t>avverkningsanmälan</t>
        </is>
      </c>
      <c r="C193" t="inlineStr">
        <is>
          <t>Föryngringsavverkning</t>
        </is>
      </c>
      <c r="D193" s="1" t="n">
        <v>45581</v>
      </c>
      <c r="E193" s="1" t="n">
        <v>46322</v>
      </c>
      <c r="F193" t="inlineStr">
        <is>
          <t>ÖSTERGÖTLANDS LÄN</t>
        </is>
      </c>
      <c r="G193" t="inlineStr">
        <is>
          <t>VALDEMARSVIK</t>
        </is>
      </c>
      <c r="I193" t="n">
        <v>0.9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t="n">
        <v>0</v>
      </c>
      <c r="V193" s="2" t="inlineStr"/>
    </row>
    <row r="194" ht="15" customHeight="1">
      <c r="A194" t="inlineStr">
        <is>
          <t>A 6502-2024</t>
        </is>
      </c>
      <c r="B194" t="inlineStr">
        <is>
          <t>avverkningsanmälan</t>
        </is>
      </c>
      <c r="C194" t="inlineStr">
        <is>
          <t>Föryngringsavverkning</t>
        </is>
      </c>
      <c r="D194" s="1" t="n">
        <v>45339</v>
      </c>
      <c r="E194" s="1" t="n">
        <v>46322</v>
      </c>
      <c r="F194" t="inlineStr">
        <is>
          <t>ÖSTERGÖTLANDS LÄN</t>
        </is>
      </c>
      <c r="G194" t="inlineStr">
        <is>
          <t>VALDEMARSVIK</t>
        </is>
      </c>
      <c r="I194" t="n">
        <v>1.7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t="n">
        <v>0</v>
      </c>
      <c r="V194" s="2" t="inlineStr"/>
    </row>
    <row r="195" ht="15" customHeight="1">
      <c r="A195" t="inlineStr">
        <is>
          <t>A 14429-2022</t>
        </is>
      </c>
      <c r="B195" t="inlineStr">
        <is>
          <t>avverkningsanmälan</t>
        </is>
      </c>
      <c r="C195" t="inlineStr">
        <is>
          <t>Föryngringsavverkning</t>
        </is>
      </c>
      <c r="D195" s="1" t="n">
        <v>44652</v>
      </c>
      <c r="E195" s="1" t="n">
        <v>46322</v>
      </c>
      <c r="F195" t="inlineStr">
        <is>
          <t>ÖSTERGÖTLANDS LÄN</t>
        </is>
      </c>
      <c r="G195" t="inlineStr">
        <is>
          <t>VALDEMARSVIK</t>
        </is>
      </c>
      <c r="I195" t="n">
        <v>1.6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0</v>
      </c>
      <c r="T195" t="n">
        <v>0</v>
      </c>
      <c r="U195" t="n">
        <v>0</v>
      </c>
      <c r="V195" s="2" t="inlineStr"/>
    </row>
    <row r="196" ht="15" customHeight="1">
      <c r="A196" t="inlineStr">
        <is>
          <t>A 17585-2023</t>
        </is>
      </c>
      <c r="B196" t="inlineStr">
        <is>
          <t>avverkningsanmälan</t>
        </is>
      </c>
      <c r="C196" t="inlineStr">
        <is>
          <t>Föryngringsavverkning</t>
        </is>
      </c>
      <c r="D196" s="1" t="n">
        <v>45036</v>
      </c>
      <c r="E196" s="1" t="n">
        <v>46322</v>
      </c>
      <c r="F196" t="inlineStr">
        <is>
          <t>ÖSTERGÖTLANDS LÄN</t>
        </is>
      </c>
      <c r="G196" t="inlineStr">
        <is>
          <t>VALDEMARSVIK</t>
        </is>
      </c>
      <c r="I196" t="n">
        <v>0.4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0</v>
      </c>
      <c r="T196" t="n">
        <v>0</v>
      </c>
      <c r="U196" t="n">
        <v>0</v>
      </c>
      <c r="V196" s="2" t="inlineStr"/>
    </row>
    <row r="197" ht="15" customHeight="1">
      <c r="A197" t="inlineStr">
        <is>
          <t>A 33177-2026</t>
        </is>
      </c>
      <c r="B197" t="inlineStr">
        <is>
          <t>avverkningsanmälan</t>
        </is>
      </c>
      <c r="C197" t="inlineStr">
        <is>
          <t>Föryngringsavverkning</t>
        </is>
      </c>
      <c r="D197" s="1" t="n">
        <v>46245</v>
      </c>
      <c r="E197" s="1" t="n">
        <v>46322</v>
      </c>
      <c r="F197" t="inlineStr">
        <is>
          <t>ÖSTERGÖTLANDS LÄN</t>
        </is>
      </c>
      <c r="G197" t="inlineStr">
        <is>
          <t>VALDEMARSVIK</t>
        </is>
      </c>
      <c r="I197" t="n">
        <v>4.6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0</v>
      </c>
      <c r="T197" t="n">
        <v>0</v>
      </c>
      <c r="U197" t="n">
        <v>0</v>
      </c>
      <c r="V197" s="2" t="inlineStr"/>
    </row>
    <row r="198" ht="15" customHeight="1">
      <c r="A198" t="inlineStr">
        <is>
          <t>A 33076-2026</t>
        </is>
      </c>
      <c r="B198" t="inlineStr">
        <is>
          <t>avverkningsanmälan</t>
        </is>
      </c>
      <c r="C198" t="inlineStr">
        <is>
          <t>Föryngringsavverkning</t>
        </is>
      </c>
      <c r="D198" s="1" t="n">
        <v>46245</v>
      </c>
      <c r="E198" s="1" t="n">
        <v>46322</v>
      </c>
      <c r="F198" t="inlineStr">
        <is>
          <t>ÖSTERGÖTLANDS LÄN</t>
        </is>
      </c>
      <c r="G198" t="inlineStr">
        <is>
          <t>VALDEMARSVIK</t>
        </is>
      </c>
      <c r="I198" t="n">
        <v>0.8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0</v>
      </c>
      <c r="T198" t="n">
        <v>0</v>
      </c>
      <c r="U198" t="n">
        <v>0</v>
      </c>
      <c r="V198" s="2" t="inlineStr"/>
    </row>
    <row r="199" ht="15" customHeight="1">
      <c r="A199" t="inlineStr">
        <is>
          <t>A 7266-2023</t>
        </is>
      </c>
      <c r="B199" t="inlineStr">
        <is>
          <t>avverkningsanmälan</t>
        </is>
      </c>
      <c r="C199" t="inlineStr">
        <is>
          <t>Föryngringsavverkning</t>
        </is>
      </c>
      <c r="D199" s="1" t="n">
        <v>44970</v>
      </c>
      <c r="E199" s="1" t="n">
        <v>46322</v>
      </c>
      <c r="F199" t="inlineStr">
        <is>
          <t>ÖSTERGÖTLANDS LÄN</t>
        </is>
      </c>
      <c r="G199" t="inlineStr">
        <is>
          <t>VALDEMARSVIK</t>
        </is>
      </c>
      <c r="I199" t="n">
        <v>3.4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0</v>
      </c>
      <c r="T199" t="n">
        <v>0</v>
      </c>
      <c r="U199" t="n">
        <v>0</v>
      </c>
      <c r="V199" s="2" t="inlineStr"/>
    </row>
    <row r="200" ht="15" customHeight="1">
      <c r="A200" t="inlineStr">
        <is>
          <t>A 252-2023</t>
        </is>
      </c>
      <c r="B200" t="inlineStr">
        <is>
          <t>avverkningsanmälan</t>
        </is>
      </c>
      <c r="C200" t="inlineStr">
        <is>
          <t>Föryngringsavverkning</t>
        </is>
      </c>
      <c r="D200" s="1" t="n">
        <v>44922</v>
      </c>
      <c r="E200" s="1" t="n">
        <v>46322</v>
      </c>
      <c r="F200" t="inlineStr">
        <is>
          <t>ÖSTERGÖTLANDS LÄN</t>
        </is>
      </c>
      <c r="G200" t="inlineStr">
        <is>
          <t>VALDEMARSVIK</t>
        </is>
      </c>
      <c r="I200" t="n">
        <v>0.8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t="n">
        <v>0</v>
      </c>
      <c r="V200" s="2" t="inlineStr"/>
    </row>
    <row r="201" ht="15" customHeight="1">
      <c r="A201" t="inlineStr">
        <is>
          <t>A 45783-2023</t>
        </is>
      </c>
      <c r="B201" t="inlineStr">
        <is>
          <t>avverkningsanmälan</t>
        </is>
      </c>
      <c r="C201" t="inlineStr">
        <is>
          <t>Avverkning för annat ändamål</t>
        </is>
      </c>
      <c r="D201" s="1" t="n">
        <v>45195</v>
      </c>
      <c r="E201" s="1" t="n">
        <v>46322</v>
      </c>
      <c r="F201" t="inlineStr">
        <is>
          <t>ÖSTERGÖTLANDS LÄN</t>
        </is>
      </c>
      <c r="G201" t="inlineStr">
        <is>
          <t>VALDEMARSVIK</t>
        </is>
      </c>
      <c r="I201" t="n">
        <v>1.8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0</v>
      </c>
      <c r="T201" t="n">
        <v>0</v>
      </c>
      <c r="U201" t="n">
        <v>0</v>
      </c>
      <c r="V201" s="2" t="inlineStr"/>
    </row>
    <row r="202" ht="15" customHeight="1">
      <c r="A202" t="inlineStr">
        <is>
          <t>A 20246-2026</t>
        </is>
      </c>
      <c r="B202" t="inlineStr">
        <is>
          <t>avverkningsanmälan</t>
        </is>
      </c>
      <c r="C202" t="inlineStr">
        <is>
          <t>Föryngringsavverkning</t>
        </is>
      </c>
      <c r="D202" s="1" t="n">
        <v>46139</v>
      </c>
      <c r="E202" s="1" t="n">
        <v>46322</v>
      </c>
      <c r="F202" t="inlineStr">
        <is>
          <t>ÖSTERGÖTLANDS LÄN</t>
        </is>
      </c>
      <c r="G202" t="inlineStr">
        <is>
          <t>VALDEMARSVIK</t>
        </is>
      </c>
      <c r="H202" t="inlineStr">
        <is>
          <t>Kommuner</t>
        </is>
      </c>
      <c r="I202" t="n">
        <v>3.4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0</v>
      </c>
      <c r="T202" t="n">
        <v>0</v>
      </c>
      <c r="U202" t="n">
        <v>0</v>
      </c>
      <c r="V202" s="2" t="inlineStr"/>
    </row>
    <row r="203" ht="15" customHeight="1">
      <c r="A203" t="inlineStr">
        <is>
          <t>A 7582-2023</t>
        </is>
      </c>
      <c r="B203" t="inlineStr">
        <is>
          <t>avverkningsanmälan</t>
        </is>
      </c>
      <c r="C203" t="inlineStr">
        <is>
          <t>Föryngringsavverkning</t>
        </is>
      </c>
      <c r="D203" s="1" t="n">
        <v>44972</v>
      </c>
      <c r="E203" s="1" t="n">
        <v>46322</v>
      </c>
      <c r="F203" t="inlineStr">
        <is>
          <t>ÖSTERGÖTLANDS LÄN</t>
        </is>
      </c>
      <c r="G203" t="inlineStr">
        <is>
          <t>VALDEMARSVIK</t>
        </is>
      </c>
      <c r="I203" t="n">
        <v>3.4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t="n">
        <v>0</v>
      </c>
      <c r="V203" s="2" t="inlineStr"/>
    </row>
    <row r="204" ht="15" customHeight="1">
      <c r="A204" t="inlineStr">
        <is>
          <t>A 20773-2026</t>
        </is>
      </c>
      <c r="B204" t="inlineStr">
        <is>
          <t>avverkningsanmälan</t>
        </is>
      </c>
      <c r="C204" t="inlineStr">
        <is>
          <t>Föryngringsavverkning</t>
        </is>
      </c>
      <c r="D204" s="1" t="n">
        <v>46141</v>
      </c>
      <c r="E204" s="1" t="n">
        <v>46322</v>
      </c>
      <c r="F204" t="inlineStr">
        <is>
          <t>ÖSTERGÖTLANDS LÄN</t>
        </is>
      </c>
      <c r="G204" t="inlineStr">
        <is>
          <t>VALDEMARSVIK</t>
        </is>
      </c>
      <c r="H204" t="inlineStr">
        <is>
          <t>Övriga Aktiebolag</t>
        </is>
      </c>
      <c r="I204" t="n">
        <v>2.3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</v>
      </c>
      <c r="U204" t="n">
        <v>0</v>
      </c>
      <c r="V204" s="2" t="inlineStr"/>
    </row>
    <row r="205" ht="15" customHeight="1">
      <c r="A205" t="inlineStr">
        <is>
          <t>A 21511-2025</t>
        </is>
      </c>
      <c r="B205" t="inlineStr">
        <is>
          <t>avverkningsanmälan</t>
        </is>
      </c>
      <c r="C205" t="inlineStr">
        <is>
          <t>Avverkning för annat ändamål</t>
        </is>
      </c>
      <c r="D205" s="1" t="n">
        <v>45782</v>
      </c>
      <c r="E205" s="1" t="n">
        <v>46322</v>
      </c>
      <c r="F205" t="inlineStr">
        <is>
          <t>ÖSTERGÖTLANDS LÄN</t>
        </is>
      </c>
      <c r="G205" t="inlineStr">
        <is>
          <t>VALDEMARSVIK</t>
        </is>
      </c>
      <c r="I205" t="n">
        <v>3.3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0</v>
      </c>
      <c r="T205" t="n">
        <v>0</v>
      </c>
      <c r="U205" t="n">
        <v>0</v>
      </c>
      <c r="V205" s="2" t="inlineStr"/>
    </row>
    <row r="206" ht="15" customHeight="1">
      <c r="A206" t="inlineStr">
        <is>
          <t>A 54812-2022</t>
        </is>
      </c>
      <c r="B206" t="inlineStr">
        <is>
          <t>avverkningsanmälan</t>
        </is>
      </c>
      <c r="C206" t="inlineStr">
        <is>
          <t>Avverkning för att bevara och utveckla /försöksver</t>
        </is>
      </c>
      <c r="D206" s="1" t="n">
        <v>44883</v>
      </c>
      <c r="E206" s="1" t="n">
        <v>46322</v>
      </c>
      <c r="F206" t="inlineStr">
        <is>
          <t>ÖSTERGÖTLANDS LÄN</t>
        </is>
      </c>
      <c r="G206" t="inlineStr">
        <is>
          <t>VALDEMARSVIK</t>
        </is>
      </c>
      <c r="I206" t="n">
        <v>0.4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t="n">
        <v>0</v>
      </c>
      <c r="V206" s="2" t="inlineStr"/>
    </row>
    <row r="207" ht="15" customHeight="1">
      <c r="A207" t="inlineStr">
        <is>
          <t>A 21370-2026</t>
        </is>
      </c>
      <c r="B207" t="inlineStr">
        <is>
          <t>avverkningsanmälan</t>
        </is>
      </c>
      <c r="C207" t="inlineStr">
        <is>
          <t>Föryngringsavverkning</t>
        </is>
      </c>
      <c r="D207" s="1" t="n">
        <v>46147</v>
      </c>
      <c r="E207" s="1" t="n">
        <v>46322</v>
      </c>
      <c r="F207" t="inlineStr">
        <is>
          <t>ÖSTERGÖTLANDS LÄN</t>
        </is>
      </c>
      <c r="G207" t="inlineStr">
        <is>
          <t>VALDEMARSVIK</t>
        </is>
      </c>
      <c r="H207" t="inlineStr">
        <is>
          <t>Holmen skog AB</t>
        </is>
      </c>
      <c r="I207" t="n">
        <v>1.3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0</v>
      </c>
      <c r="T207" t="n">
        <v>0</v>
      </c>
      <c r="U207" t="n">
        <v>0</v>
      </c>
      <c r="V207" s="2" t="inlineStr"/>
    </row>
    <row r="208" ht="15" customHeight="1">
      <c r="A208" t="inlineStr">
        <is>
          <t>A 43151-2023</t>
        </is>
      </c>
      <c r="B208" t="inlineStr">
        <is>
          <t>avverkningsanmälan</t>
        </is>
      </c>
      <c r="C208" t="inlineStr">
        <is>
          <t>Föryngringsavverkning</t>
        </is>
      </c>
      <c r="D208" s="1" t="n">
        <v>45183</v>
      </c>
      <c r="E208" s="1" t="n">
        <v>46322</v>
      </c>
      <c r="F208" t="inlineStr">
        <is>
          <t>ÖSTERGÖTLANDS LÄN</t>
        </is>
      </c>
      <c r="G208" t="inlineStr">
        <is>
          <t>VALDEMARSVIK</t>
        </is>
      </c>
      <c r="I208" t="n">
        <v>0.5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0</v>
      </c>
      <c r="T208" t="n">
        <v>0</v>
      </c>
      <c r="U208" t="n">
        <v>0</v>
      </c>
      <c r="V208" s="2" t="inlineStr"/>
    </row>
    <row r="209" ht="15" customHeight="1">
      <c r="A209" t="inlineStr">
        <is>
          <t>A 31862-2022</t>
        </is>
      </c>
      <c r="B209" t="inlineStr">
        <is>
          <t>avverkningsanmälan</t>
        </is>
      </c>
      <c r="C209" t="inlineStr">
        <is>
          <t>Föryngringsavverkning</t>
        </is>
      </c>
      <c r="D209" s="1" t="n">
        <v>44777</v>
      </c>
      <c r="E209" s="1" t="n">
        <v>46322</v>
      </c>
      <c r="F209" t="inlineStr">
        <is>
          <t>ÖSTERGÖTLANDS LÄN</t>
        </is>
      </c>
      <c r="G209" t="inlineStr">
        <is>
          <t>VALDEMARSVIK</t>
        </is>
      </c>
      <c r="I209" t="n">
        <v>2.1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t="n">
        <v>0</v>
      </c>
      <c r="S209" t="n">
        <v>0</v>
      </c>
      <c r="T209" t="n">
        <v>0</v>
      </c>
      <c r="U209" t="n">
        <v>0</v>
      </c>
      <c r="V209" s="2" t="inlineStr"/>
    </row>
    <row r="210" ht="15" customHeight="1">
      <c r="A210" t="inlineStr">
        <is>
          <t>A 57864-2022</t>
        </is>
      </c>
      <c r="B210" t="inlineStr">
        <is>
          <t>avverkningsanmälan</t>
        </is>
      </c>
      <c r="C210" t="inlineStr">
        <is>
          <t>Föryngringsavverkning</t>
        </is>
      </c>
      <c r="D210" s="1" t="n">
        <v>44899</v>
      </c>
      <c r="E210" s="1" t="n">
        <v>46322</v>
      </c>
      <c r="F210" t="inlineStr">
        <is>
          <t>ÖSTERGÖTLANDS LÄN</t>
        </is>
      </c>
      <c r="G210" t="inlineStr">
        <is>
          <t>VALDEMARSVIK</t>
        </is>
      </c>
      <c r="I210" t="n">
        <v>0.7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t="n">
        <v>0</v>
      </c>
      <c r="S210" t="n">
        <v>0</v>
      </c>
      <c r="T210" t="n">
        <v>0</v>
      </c>
      <c r="U210" t="n">
        <v>0</v>
      </c>
      <c r="V210" s="2" t="inlineStr"/>
    </row>
    <row r="211" ht="15" customHeight="1">
      <c r="A211" t="inlineStr">
        <is>
          <t>A 15779-2024</t>
        </is>
      </c>
      <c r="B211" t="inlineStr">
        <is>
          <t>avverkningsanmälan</t>
        </is>
      </c>
      <c r="C211" t="inlineStr">
        <is>
          <t>Föryngringsavverkning</t>
        </is>
      </c>
      <c r="D211" s="1" t="n">
        <v>45404</v>
      </c>
      <c r="E211" s="1" t="n">
        <v>46322</v>
      </c>
      <c r="F211" t="inlineStr">
        <is>
          <t>ÖSTERGÖTLANDS LÄN</t>
        </is>
      </c>
      <c r="G211" t="inlineStr">
        <is>
          <t>VALDEMARSVIK</t>
        </is>
      </c>
      <c r="I211" t="n">
        <v>2.4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t="n">
        <v>0</v>
      </c>
      <c r="S211" t="n">
        <v>0</v>
      </c>
      <c r="T211" t="n">
        <v>0</v>
      </c>
      <c r="U211" t="n">
        <v>0</v>
      </c>
      <c r="V211" s="2" t="inlineStr"/>
    </row>
    <row r="212" ht="15" customHeight="1">
      <c r="A212" t="inlineStr">
        <is>
          <t>A 50041-2023</t>
        </is>
      </c>
      <c r="B212" t="inlineStr">
        <is>
          <t>avverkningsanmälan</t>
        </is>
      </c>
      <c r="C212" t="inlineStr">
        <is>
          <t>Föryngringsavverkning</t>
        </is>
      </c>
      <c r="D212" s="1" t="n">
        <v>45215</v>
      </c>
      <c r="E212" s="1" t="n">
        <v>46322</v>
      </c>
      <c r="F212" t="inlineStr">
        <is>
          <t>ÖSTERGÖTLANDS LÄN</t>
        </is>
      </c>
      <c r="G212" t="inlineStr">
        <is>
          <t>VALDEMARSVIK</t>
        </is>
      </c>
      <c r="I212" t="n">
        <v>1.4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t="n">
        <v>0</v>
      </c>
      <c r="S212" t="n">
        <v>0</v>
      </c>
      <c r="T212" t="n">
        <v>0</v>
      </c>
      <c r="U212" t="n">
        <v>0</v>
      </c>
      <c r="V212" s="2" t="inlineStr"/>
    </row>
    <row r="213" ht="15" customHeight="1">
      <c r="A213" t="inlineStr">
        <is>
          <t>A 22296-2026</t>
        </is>
      </c>
      <c r="B213" t="inlineStr">
        <is>
          <t>avverkningsanmälan</t>
        </is>
      </c>
      <c r="C213" t="inlineStr">
        <is>
          <t>Föryngringsavverkning</t>
        </is>
      </c>
      <c r="D213" s="1" t="n">
        <v>46154</v>
      </c>
      <c r="E213" s="1" t="n">
        <v>46322</v>
      </c>
      <c r="F213" t="inlineStr">
        <is>
          <t>ÖSTERGÖTLANDS LÄN</t>
        </is>
      </c>
      <c r="G213" t="inlineStr">
        <is>
          <t>VALDEMARSVIK</t>
        </is>
      </c>
      <c r="I213" t="n">
        <v>1.7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t="n">
        <v>0</v>
      </c>
      <c r="S213" t="n">
        <v>0</v>
      </c>
      <c r="T213" t="n">
        <v>0</v>
      </c>
      <c r="U213" t="n">
        <v>0</v>
      </c>
      <c r="V213" s="2" t="inlineStr"/>
    </row>
    <row r="214" ht="15" customHeight="1">
      <c r="A214" t="inlineStr">
        <is>
          <t>A 22292-2026</t>
        </is>
      </c>
      <c r="B214" t="inlineStr">
        <is>
          <t>avverkningsanmälan</t>
        </is>
      </c>
      <c r="C214" t="inlineStr">
        <is>
          <t>Föryngringsavverkning</t>
        </is>
      </c>
      <c r="D214" s="1" t="n">
        <v>46154</v>
      </c>
      <c r="E214" s="1" t="n">
        <v>46322</v>
      </c>
      <c r="F214" t="inlineStr">
        <is>
          <t>ÖSTERGÖTLANDS LÄN</t>
        </is>
      </c>
      <c r="G214" t="inlineStr">
        <is>
          <t>VALDEMARSVIK</t>
        </is>
      </c>
      <c r="I214" t="n">
        <v>1.1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t="n">
        <v>0</v>
      </c>
      <c r="S214" t="n">
        <v>0</v>
      </c>
      <c r="T214" t="n">
        <v>0</v>
      </c>
      <c r="U214" t="n">
        <v>0</v>
      </c>
      <c r="V214" s="2" t="inlineStr"/>
    </row>
    <row r="215" ht="15" customHeight="1">
      <c r="A215" t="inlineStr">
        <is>
          <t>A 22468-2026</t>
        </is>
      </c>
      <c r="B215" t="inlineStr">
        <is>
          <t>avverkningsanmälan</t>
        </is>
      </c>
      <c r="C215" t="inlineStr">
        <is>
          <t>Föryngringsavverkning</t>
        </is>
      </c>
      <c r="D215" s="1" t="n">
        <v>46155</v>
      </c>
      <c r="E215" s="1" t="n">
        <v>46322</v>
      </c>
      <c r="F215" t="inlineStr">
        <is>
          <t>ÖSTERGÖTLANDS LÄN</t>
        </is>
      </c>
      <c r="G215" t="inlineStr">
        <is>
          <t>VALDEMARSVIK</t>
        </is>
      </c>
      <c r="H215" t="inlineStr">
        <is>
          <t>Holmen skog AB</t>
        </is>
      </c>
      <c r="I215" t="n">
        <v>3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t="n">
        <v>0</v>
      </c>
      <c r="S215" t="n">
        <v>0</v>
      </c>
      <c r="T215" t="n">
        <v>0</v>
      </c>
      <c r="U215" t="n">
        <v>0</v>
      </c>
      <c r="V215" s="2" t="inlineStr"/>
    </row>
    <row r="216" ht="15" customHeight="1">
      <c r="A216" t="inlineStr">
        <is>
          <t>A 4331-2023</t>
        </is>
      </c>
      <c r="B216" t="inlineStr">
        <is>
          <t>avverkningsanmälan</t>
        </is>
      </c>
      <c r="C216" t="inlineStr">
        <is>
          <t>Föryngringsavverkning</t>
        </is>
      </c>
      <c r="D216" s="1" t="n">
        <v>44953</v>
      </c>
      <c r="E216" s="1" t="n">
        <v>46322</v>
      </c>
      <c r="F216" t="inlineStr">
        <is>
          <t>ÖSTERGÖTLANDS LÄN</t>
        </is>
      </c>
      <c r="G216" t="inlineStr">
        <is>
          <t>VALDEMARSVIK</t>
        </is>
      </c>
      <c r="I216" t="n">
        <v>1.8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t="n">
        <v>0</v>
      </c>
      <c r="S216" t="n">
        <v>0</v>
      </c>
      <c r="T216" t="n">
        <v>0</v>
      </c>
      <c r="U216" t="n">
        <v>0</v>
      </c>
      <c r="V216" s="2" t="inlineStr"/>
    </row>
    <row r="217" ht="15" customHeight="1">
      <c r="A217" t="inlineStr">
        <is>
          <t>A 42401-2022</t>
        </is>
      </c>
      <c r="B217" t="inlineStr">
        <is>
          <t>avverkningsanmälan</t>
        </is>
      </c>
      <c r="C217" t="inlineStr">
        <is>
          <t>Föryngringsavverkning</t>
        </is>
      </c>
      <c r="D217" s="1" t="n">
        <v>44830</v>
      </c>
      <c r="E217" s="1" t="n">
        <v>46322</v>
      </c>
      <c r="F217" t="inlineStr">
        <is>
          <t>ÖSTERGÖTLANDS LÄN</t>
        </is>
      </c>
      <c r="G217" t="inlineStr">
        <is>
          <t>VALDEMARSVIK</t>
        </is>
      </c>
      <c r="I217" t="n">
        <v>0.9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t="n">
        <v>0</v>
      </c>
      <c r="S217" t="n">
        <v>0</v>
      </c>
      <c r="T217" t="n">
        <v>0</v>
      </c>
      <c r="U217" t="n">
        <v>0</v>
      </c>
      <c r="V217" s="2" t="inlineStr"/>
    </row>
    <row r="218" ht="15" customHeight="1">
      <c r="A218" t="inlineStr">
        <is>
          <t>A 59741-2023</t>
        </is>
      </c>
      <c r="B218" t="inlineStr">
        <is>
          <t>avverkningsanmälan</t>
        </is>
      </c>
      <c r="C218" t="inlineStr">
        <is>
          <t>Föryngringsavverkning</t>
        </is>
      </c>
      <c r="D218" s="1" t="n">
        <v>45257</v>
      </c>
      <c r="E218" s="1" t="n">
        <v>46322</v>
      </c>
      <c r="F218" t="inlineStr">
        <is>
          <t>ÖSTERGÖTLANDS LÄN</t>
        </is>
      </c>
      <c r="G218" t="inlineStr">
        <is>
          <t>VALDEMARSVIK</t>
        </is>
      </c>
      <c r="I218" t="n">
        <v>0.6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t="n">
        <v>0</v>
      </c>
      <c r="S218" t="n">
        <v>0</v>
      </c>
      <c r="T218" t="n">
        <v>0</v>
      </c>
      <c r="U218" t="n">
        <v>0</v>
      </c>
      <c r="V218" s="2" t="inlineStr"/>
    </row>
    <row r="219" ht="15" customHeight="1">
      <c r="A219" t="inlineStr">
        <is>
          <t>A 8685-2022</t>
        </is>
      </c>
      <c r="B219" t="inlineStr">
        <is>
          <t>avverkningsanmälan</t>
        </is>
      </c>
      <c r="C219" t="inlineStr">
        <is>
          <t>Föryngringsavverkning</t>
        </is>
      </c>
      <c r="D219" s="1" t="n">
        <v>44613</v>
      </c>
      <c r="E219" s="1" t="n">
        <v>46322</v>
      </c>
      <c r="F219" t="inlineStr">
        <is>
          <t>ÖSTERGÖTLANDS LÄN</t>
        </is>
      </c>
      <c r="G219" t="inlineStr">
        <is>
          <t>VALDEMARSVIK</t>
        </is>
      </c>
      <c r="I219" t="n">
        <v>4.7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t="n">
        <v>0</v>
      </c>
      <c r="S219" t="n">
        <v>0</v>
      </c>
      <c r="T219" t="n">
        <v>0</v>
      </c>
      <c r="U219" t="n">
        <v>0</v>
      </c>
      <c r="V219" s="2" t="inlineStr"/>
    </row>
    <row r="220" ht="15" customHeight="1">
      <c r="A220" t="inlineStr">
        <is>
          <t>A 43516-2024</t>
        </is>
      </c>
      <c r="B220" t="inlineStr">
        <is>
          <t>avverkningsanmälan</t>
        </is>
      </c>
      <c r="C220" t="inlineStr">
        <is>
          <t>Föryngringsavverkning</t>
        </is>
      </c>
      <c r="D220" s="1" t="n">
        <v>45569</v>
      </c>
      <c r="E220" s="1" t="n">
        <v>46322</v>
      </c>
      <c r="F220" t="inlineStr">
        <is>
          <t>ÖSTERGÖTLANDS LÄN</t>
        </is>
      </c>
      <c r="G220" t="inlineStr">
        <is>
          <t>VALDEMARSVIK</t>
        </is>
      </c>
      <c r="H220" t="inlineStr">
        <is>
          <t>Kyrkan</t>
        </is>
      </c>
      <c r="I220" t="n">
        <v>1.4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t="n">
        <v>0</v>
      </c>
      <c r="S220" t="n">
        <v>0</v>
      </c>
      <c r="T220" t="n">
        <v>0</v>
      </c>
      <c r="U220" t="n">
        <v>0</v>
      </c>
      <c r="V220" s="2" t="inlineStr"/>
    </row>
    <row r="221" ht="15" customHeight="1">
      <c r="A221" t="inlineStr">
        <is>
          <t>A 43518-2024</t>
        </is>
      </c>
      <c r="B221" t="inlineStr">
        <is>
          <t>avverkningsanmälan</t>
        </is>
      </c>
      <c r="C221" t="inlineStr">
        <is>
          <t>Föryngringsavverkning</t>
        </is>
      </c>
      <c r="D221" s="1" t="n">
        <v>45569</v>
      </c>
      <c r="E221" s="1" t="n">
        <v>46322</v>
      </c>
      <c r="F221" t="inlineStr">
        <is>
          <t>ÖSTERGÖTLANDS LÄN</t>
        </is>
      </c>
      <c r="G221" t="inlineStr">
        <is>
          <t>VALDEMARSVIK</t>
        </is>
      </c>
      <c r="H221" t="inlineStr">
        <is>
          <t>Kyrkan</t>
        </is>
      </c>
      <c r="I221" t="n">
        <v>2.1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t="n">
        <v>0</v>
      </c>
      <c r="S221" t="n">
        <v>0</v>
      </c>
      <c r="T221" t="n">
        <v>0</v>
      </c>
      <c r="U221" t="n">
        <v>0</v>
      </c>
      <c r="V221" s="2" t="inlineStr"/>
    </row>
    <row r="222" ht="15" customHeight="1">
      <c r="A222" t="inlineStr">
        <is>
          <t>A 21399-2023</t>
        </is>
      </c>
      <c r="B222" t="inlineStr">
        <is>
          <t>avverkningsanmälan</t>
        </is>
      </c>
      <c r="C222" t="inlineStr">
        <is>
          <t>Föryngringsavverkning</t>
        </is>
      </c>
      <c r="D222" s="1" t="n">
        <v>45063</v>
      </c>
      <c r="E222" s="1" t="n">
        <v>46322</v>
      </c>
      <c r="F222" t="inlineStr">
        <is>
          <t>ÖSTERGÖTLANDS LÄN</t>
        </is>
      </c>
      <c r="G222" t="inlineStr">
        <is>
          <t>VALDEMARSVIK</t>
        </is>
      </c>
      <c r="I222" t="n">
        <v>0.6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t="n">
        <v>0</v>
      </c>
      <c r="S222" t="n">
        <v>0</v>
      </c>
      <c r="T222" t="n">
        <v>0</v>
      </c>
      <c r="U222" t="n">
        <v>0</v>
      </c>
      <c r="V222" s="2" t="inlineStr"/>
    </row>
    <row r="223" ht="15" customHeight="1">
      <c r="A223" t="inlineStr">
        <is>
          <t>A 14417-2024</t>
        </is>
      </c>
      <c r="B223" t="inlineStr">
        <is>
          <t>avverkningsanmälan</t>
        </is>
      </c>
      <c r="C223" t="inlineStr">
        <is>
          <t>Föryngringsavverkning</t>
        </is>
      </c>
      <c r="D223" s="1" t="n">
        <v>45394</v>
      </c>
      <c r="E223" s="1" t="n">
        <v>46322</v>
      </c>
      <c r="F223" t="inlineStr">
        <is>
          <t>ÖSTERGÖTLANDS LÄN</t>
        </is>
      </c>
      <c r="G223" t="inlineStr">
        <is>
          <t>VALDEMARSVIK</t>
        </is>
      </c>
      <c r="I223" t="n">
        <v>1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t="n">
        <v>0</v>
      </c>
      <c r="S223" t="n">
        <v>0</v>
      </c>
      <c r="T223" t="n">
        <v>0</v>
      </c>
      <c r="U223" t="n">
        <v>0</v>
      </c>
      <c r="V223" s="2" t="inlineStr"/>
    </row>
    <row r="224" ht="15" customHeight="1">
      <c r="A224" t="inlineStr">
        <is>
          <t>A 17717-2025</t>
        </is>
      </c>
      <c r="B224" t="inlineStr">
        <is>
          <t>avverkningsanmälan</t>
        </is>
      </c>
      <c r="C224" t="inlineStr">
        <is>
          <t>Föryngringsavverkning</t>
        </is>
      </c>
      <c r="D224" s="1" t="n">
        <v>45758</v>
      </c>
      <c r="E224" s="1" t="n">
        <v>46322</v>
      </c>
      <c r="F224" t="inlineStr">
        <is>
          <t>ÖSTERGÖTLANDS LÄN</t>
        </is>
      </c>
      <c r="G224" t="inlineStr">
        <is>
          <t>VALDEMARSVIK</t>
        </is>
      </c>
      <c r="I224" t="n">
        <v>0.9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t="n">
        <v>0</v>
      </c>
      <c r="S224" t="n">
        <v>0</v>
      </c>
      <c r="T224" t="n">
        <v>0</v>
      </c>
      <c r="U224" t="n">
        <v>0</v>
      </c>
      <c r="V224" s="2" t="inlineStr"/>
    </row>
    <row r="225" ht="15" customHeight="1">
      <c r="A225" t="inlineStr">
        <is>
          <t>A 56097-2025</t>
        </is>
      </c>
      <c r="B225" t="inlineStr">
        <is>
          <t>avverkningsanmälan</t>
        </is>
      </c>
      <c r="C225" t="inlineStr">
        <is>
          <t>Föryngringsavverkning</t>
        </is>
      </c>
      <c r="D225" s="1" t="n">
        <v>45973</v>
      </c>
      <c r="E225" s="1" t="n">
        <v>46322</v>
      </c>
      <c r="F225" t="inlineStr">
        <is>
          <t>ÖSTERGÖTLANDS LÄN</t>
        </is>
      </c>
      <c r="G225" t="inlineStr">
        <is>
          <t>VALDEMARSVIK</t>
        </is>
      </c>
      <c r="I225" t="n">
        <v>1.9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t="n">
        <v>0</v>
      </c>
      <c r="S225" t="n">
        <v>0</v>
      </c>
      <c r="T225" t="n">
        <v>0</v>
      </c>
      <c r="U225" t="n">
        <v>0</v>
      </c>
      <c r="V225" s="2" t="inlineStr"/>
    </row>
    <row r="226" ht="15" customHeight="1">
      <c r="A226" t="inlineStr">
        <is>
          <t>A 34357-2023</t>
        </is>
      </c>
      <c r="B226" t="inlineStr">
        <is>
          <t>avverkningsanmälan</t>
        </is>
      </c>
      <c r="C226" t="inlineStr">
        <is>
          <t>Föryngringsavverkning</t>
        </is>
      </c>
      <c r="D226" s="1" t="n">
        <v>45133</v>
      </c>
      <c r="E226" s="1" t="n">
        <v>46322</v>
      </c>
      <c r="F226" t="inlineStr">
        <is>
          <t>ÖSTERGÖTLANDS LÄN</t>
        </is>
      </c>
      <c r="G226" t="inlineStr">
        <is>
          <t>VALDEMARSVIK</t>
        </is>
      </c>
      <c r="I226" t="n">
        <v>1.7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t="n">
        <v>0</v>
      </c>
      <c r="S226" t="n">
        <v>0</v>
      </c>
      <c r="T226" t="n">
        <v>0</v>
      </c>
      <c r="U226" t="n">
        <v>0</v>
      </c>
      <c r="V226" s="2" t="inlineStr"/>
    </row>
    <row r="227" ht="15" customHeight="1">
      <c r="A227" t="inlineStr">
        <is>
          <t>A 21483-2023</t>
        </is>
      </c>
      <c r="B227" t="inlineStr">
        <is>
          <t>avverkningsanmälan</t>
        </is>
      </c>
      <c r="C227" t="inlineStr">
        <is>
          <t>Föryngringsavverkning</t>
        </is>
      </c>
      <c r="D227" s="1" t="n">
        <v>45063</v>
      </c>
      <c r="E227" s="1" t="n">
        <v>46322</v>
      </c>
      <c r="F227" t="inlineStr">
        <is>
          <t>ÖSTERGÖTLANDS LÄN</t>
        </is>
      </c>
      <c r="G227" t="inlineStr">
        <is>
          <t>VALDEMARSVIK</t>
        </is>
      </c>
      <c r="I227" t="n">
        <v>2.6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t="n">
        <v>0</v>
      </c>
      <c r="S227" t="n">
        <v>0</v>
      </c>
      <c r="T227" t="n">
        <v>0</v>
      </c>
      <c r="U227" t="n">
        <v>0</v>
      </c>
      <c r="V227" s="2" t="inlineStr"/>
    </row>
    <row r="228" ht="15" customHeight="1">
      <c r="A228" t="inlineStr">
        <is>
          <t>A 24532-2026</t>
        </is>
      </c>
      <c r="B228" t="inlineStr">
        <is>
          <t>avverkningsanmälan</t>
        </is>
      </c>
      <c r="C228" t="inlineStr">
        <is>
          <t>Föryngringsavverkning</t>
        </is>
      </c>
      <c r="D228" s="1" t="n">
        <v>46170</v>
      </c>
      <c r="E228" s="1" t="n">
        <v>46322</v>
      </c>
      <c r="F228" t="inlineStr">
        <is>
          <t>ÖSTERGÖTLANDS LÄN</t>
        </is>
      </c>
      <c r="G228" t="inlineStr">
        <is>
          <t>VALDEMARSVIK</t>
        </is>
      </c>
      <c r="I228" t="n">
        <v>2.3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t="n">
        <v>0</v>
      </c>
      <c r="S228" t="n">
        <v>0</v>
      </c>
      <c r="T228" t="n">
        <v>0</v>
      </c>
      <c r="U228" t="n">
        <v>0</v>
      </c>
      <c r="V228" s="2" t="inlineStr"/>
    </row>
    <row r="229" ht="15" customHeight="1">
      <c r="A229" t="inlineStr">
        <is>
          <t>A 38431-2024</t>
        </is>
      </c>
      <c r="B229" t="inlineStr">
        <is>
          <t>avverkningsanmälan</t>
        </is>
      </c>
      <c r="C229" t="inlineStr">
        <is>
          <t>Föryngringsavverkning</t>
        </is>
      </c>
      <c r="D229" s="1" t="n">
        <v>45546</v>
      </c>
      <c r="E229" s="1" t="n">
        <v>46322</v>
      </c>
      <c r="F229" t="inlineStr">
        <is>
          <t>ÖSTERGÖTLANDS LÄN</t>
        </is>
      </c>
      <c r="G229" t="inlineStr">
        <is>
          <t>VALDEMARSVIK</t>
        </is>
      </c>
      <c r="I229" t="n">
        <v>4.2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t="n">
        <v>0</v>
      </c>
      <c r="S229" t="n">
        <v>0</v>
      </c>
      <c r="T229" t="n">
        <v>0</v>
      </c>
      <c r="U229" t="n">
        <v>0</v>
      </c>
      <c r="V229" s="2" t="inlineStr"/>
    </row>
    <row r="230" ht="15" customHeight="1">
      <c r="A230" t="inlineStr">
        <is>
          <t>A 38438-2024</t>
        </is>
      </c>
      <c r="B230" t="inlineStr">
        <is>
          <t>avverkningsanmälan</t>
        </is>
      </c>
      <c r="C230" t="inlineStr">
        <is>
          <t>Föryngringsavverkning</t>
        </is>
      </c>
      <c r="D230" s="1" t="n">
        <v>45546</v>
      </c>
      <c r="E230" s="1" t="n">
        <v>46322</v>
      </c>
      <c r="F230" t="inlineStr">
        <is>
          <t>ÖSTERGÖTLANDS LÄN</t>
        </is>
      </c>
      <c r="G230" t="inlineStr">
        <is>
          <t>VALDEMARSVIK</t>
        </is>
      </c>
      <c r="I230" t="n">
        <v>0.9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t="n">
        <v>0</v>
      </c>
      <c r="S230" t="n">
        <v>0</v>
      </c>
      <c r="T230" t="n">
        <v>0</v>
      </c>
      <c r="U230" t="n">
        <v>0</v>
      </c>
      <c r="V230" s="2" t="inlineStr"/>
    </row>
    <row r="231" ht="15" customHeight="1">
      <c r="A231" t="inlineStr">
        <is>
          <t>A 10135-2025</t>
        </is>
      </c>
      <c r="B231" t="inlineStr">
        <is>
          <t>avverkningsanmälan</t>
        </is>
      </c>
      <c r="C231" t="inlineStr">
        <is>
          <t>Föryngringsavverkning</t>
        </is>
      </c>
      <c r="D231" s="1" t="n">
        <v>45719</v>
      </c>
      <c r="E231" s="1" t="n">
        <v>46322</v>
      </c>
      <c r="F231" t="inlineStr">
        <is>
          <t>ÖSTERGÖTLANDS LÄN</t>
        </is>
      </c>
      <c r="G231" t="inlineStr">
        <is>
          <t>VALDEMARSVIK</t>
        </is>
      </c>
      <c r="I231" t="n">
        <v>10.3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t="n">
        <v>0</v>
      </c>
      <c r="S231" t="n">
        <v>0</v>
      </c>
      <c r="T231" t="n">
        <v>0</v>
      </c>
      <c r="U231" t="n">
        <v>0</v>
      </c>
      <c r="V231" s="2" t="inlineStr"/>
    </row>
    <row r="232" ht="15" customHeight="1">
      <c r="A232" t="inlineStr">
        <is>
          <t>A 1974-2022</t>
        </is>
      </c>
      <c r="B232" t="inlineStr">
        <is>
          <t>avverkningsanmälan</t>
        </is>
      </c>
      <c r="C232" t="inlineStr">
        <is>
          <t>Föryngringsavverkning</t>
        </is>
      </c>
      <c r="D232" s="1" t="n">
        <v>44575</v>
      </c>
      <c r="E232" s="1" t="n">
        <v>46322</v>
      </c>
      <c r="F232" t="inlineStr">
        <is>
          <t>ÖSTERGÖTLANDS LÄN</t>
        </is>
      </c>
      <c r="G232" t="inlineStr">
        <is>
          <t>VALDEMARSVIK</t>
        </is>
      </c>
      <c r="I232" t="n">
        <v>1.2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t="n">
        <v>0</v>
      </c>
      <c r="S232" t="n">
        <v>0</v>
      </c>
      <c r="T232" t="n">
        <v>0</v>
      </c>
      <c r="U232" t="n">
        <v>0</v>
      </c>
      <c r="V232" s="2" t="inlineStr"/>
    </row>
    <row r="233" ht="15" customHeight="1">
      <c r="A233" t="inlineStr">
        <is>
          <t>A 26049-2026</t>
        </is>
      </c>
      <c r="B233" t="inlineStr">
        <is>
          <t>avverkningsanmälan</t>
        </is>
      </c>
      <c r="C233" t="inlineStr">
        <is>
          <t>Föryngringsavverkning</t>
        </is>
      </c>
      <c r="D233" s="1" t="n">
        <v>46177</v>
      </c>
      <c r="E233" s="1" t="n">
        <v>46322</v>
      </c>
      <c r="F233" t="inlineStr">
        <is>
          <t>ÖSTERGÖTLANDS LÄN</t>
        </is>
      </c>
      <c r="G233" t="inlineStr">
        <is>
          <t>VALDEMARSVIK</t>
        </is>
      </c>
      <c r="H233" t="inlineStr">
        <is>
          <t>Övriga Aktiebolag</t>
        </is>
      </c>
      <c r="I233" t="n">
        <v>1.4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t="n">
        <v>0</v>
      </c>
      <c r="S233" t="n">
        <v>0</v>
      </c>
      <c r="T233" t="n">
        <v>0</v>
      </c>
      <c r="U233" t="n">
        <v>0</v>
      </c>
      <c r="V233" s="2" t="inlineStr"/>
    </row>
    <row r="234" ht="15" customHeight="1">
      <c r="A234" t="inlineStr">
        <is>
          <t>A 41314-2023</t>
        </is>
      </c>
      <c r="B234" t="inlineStr">
        <is>
          <t>avverkningsanmälan</t>
        </is>
      </c>
      <c r="C234" t="inlineStr">
        <is>
          <t>Föryngringsavverkning</t>
        </is>
      </c>
      <c r="D234" s="1" t="n">
        <v>45173</v>
      </c>
      <c r="E234" s="1" t="n">
        <v>46322</v>
      </c>
      <c r="F234" t="inlineStr">
        <is>
          <t>ÖSTERGÖTLANDS LÄN</t>
        </is>
      </c>
      <c r="G234" t="inlineStr">
        <is>
          <t>VALDEMARSVIK</t>
        </is>
      </c>
      <c r="I234" t="n">
        <v>1.2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t="n">
        <v>0</v>
      </c>
      <c r="S234" t="n">
        <v>0</v>
      </c>
      <c r="T234" t="n">
        <v>0</v>
      </c>
      <c r="U234" t="n">
        <v>0</v>
      </c>
      <c r="V234" s="2" t="inlineStr"/>
    </row>
    <row r="235" ht="15" customHeight="1">
      <c r="A235" t="inlineStr">
        <is>
          <t>A 33090-2026</t>
        </is>
      </c>
      <c r="B235" t="inlineStr">
        <is>
          <t>avverkningsanmälan</t>
        </is>
      </c>
      <c r="C235" t="inlineStr">
        <is>
          <t>Föryngringsavverkning</t>
        </is>
      </c>
      <c r="D235" s="1" t="n">
        <v>46245</v>
      </c>
      <c r="E235" s="1" t="n">
        <v>46322</v>
      </c>
      <c r="F235" t="inlineStr">
        <is>
          <t>ÖSTERGÖTLANDS LÄN</t>
        </is>
      </c>
      <c r="G235" t="inlineStr">
        <is>
          <t>VALDEMARSVIK</t>
        </is>
      </c>
      <c r="I235" t="n">
        <v>0.9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t="n">
        <v>0</v>
      </c>
      <c r="S235" t="n">
        <v>0</v>
      </c>
      <c r="T235" t="n">
        <v>0</v>
      </c>
      <c r="U235" t="n">
        <v>0</v>
      </c>
      <c r="V235" s="2" t="inlineStr"/>
    </row>
    <row r="236" ht="15" customHeight="1">
      <c r="A236" t="inlineStr">
        <is>
          <t>A 23827-2022</t>
        </is>
      </c>
      <c r="B236" t="inlineStr">
        <is>
          <t>avverkningsanmälan</t>
        </is>
      </c>
      <c r="C236" t="inlineStr">
        <is>
          <t>Föryngringsavverkning</t>
        </is>
      </c>
      <c r="D236" s="1" t="n">
        <v>44722</v>
      </c>
      <c r="E236" s="1" t="n">
        <v>46322</v>
      </c>
      <c r="F236" t="inlineStr">
        <is>
          <t>ÖSTERGÖTLANDS LÄN</t>
        </is>
      </c>
      <c r="G236" t="inlineStr">
        <is>
          <t>VALDEMARSVIK</t>
        </is>
      </c>
      <c r="I236" t="n">
        <v>1.6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t="n">
        <v>0</v>
      </c>
      <c r="S236" t="n">
        <v>0</v>
      </c>
      <c r="T236" t="n">
        <v>0</v>
      </c>
      <c r="U236" t="n">
        <v>0</v>
      </c>
      <c r="V236" s="2" t="inlineStr"/>
    </row>
    <row r="237" ht="15" customHeight="1">
      <c r="A237" t="inlineStr">
        <is>
          <t>A 21487-2023</t>
        </is>
      </c>
      <c r="B237" t="inlineStr">
        <is>
          <t>avverkningsanmälan</t>
        </is>
      </c>
      <c r="C237" t="inlineStr">
        <is>
          <t>Föryngringsavverkning</t>
        </is>
      </c>
      <c r="D237" s="1" t="n">
        <v>45063</v>
      </c>
      <c r="E237" s="1" t="n">
        <v>46322</v>
      </c>
      <c r="F237" t="inlineStr">
        <is>
          <t>ÖSTERGÖTLANDS LÄN</t>
        </is>
      </c>
      <c r="G237" t="inlineStr">
        <is>
          <t>VALDEMARSVIK</t>
        </is>
      </c>
      <c r="I237" t="n">
        <v>1.6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t="n">
        <v>0</v>
      </c>
      <c r="S237" t="n">
        <v>0</v>
      </c>
      <c r="T237" t="n">
        <v>0</v>
      </c>
      <c r="U237" t="n">
        <v>0</v>
      </c>
      <c r="V237" s="2" t="inlineStr"/>
    </row>
    <row r="238" ht="15" customHeight="1">
      <c r="A238" t="inlineStr">
        <is>
          <t>A 7646-2025</t>
        </is>
      </c>
      <c r="B238" t="inlineStr">
        <is>
          <t>avverkningsanmälan</t>
        </is>
      </c>
      <c r="C238" t="inlineStr">
        <is>
          <t>Föryngringsavverkning</t>
        </is>
      </c>
      <c r="D238" s="1" t="n">
        <v>45705</v>
      </c>
      <c r="E238" s="1" t="n">
        <v>46322</v>
      </c>
      <c r="F238" t="inlineStr">
        <is>
          <t>ÖSTERGÖTLANDS LÄN</t>
        </is>
      </c>
      <c r="G238" t="inlineStr">
        <is>
          <t>VALDEMARSVIK</t>
        </is>
      </c>
      <c r="I238" t="n">
        <v>1.8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t="n">
        <v>0</v>
      </c>
      <c r="S238" t="n">
        <v>0</v>
      </c>
      <c r="T238" t="n">
        <v>0</v>
      </c>
      <c r="U238" t="n">
        <v>0</v>
      </c>
      <c r="V238" s="2" t="inlineStr"/>
    </row>
    <row r="239" ht="15" customHeight="1">
      <c r="A239" t="inlineStr">
        <is>
          <t>A 7647-2025</t>
        </is>
      </c>
      <c r="B239" t="inlineStr">
        <is>
          <t>avverkningsanmälan</t>
        </is>
      </c>
      <c r="C239" t="inlineStr">
        <is>
          <t>Föryngringsavverkning</t>
        </is>
      </c>
      <c r="D239" s="1" t="n">
        <v>45705</v>
      </c>
      <c r="E239" s="1" t="n">
        <v>46322</v>
      </c>
      <c r="F239" t="inlineStr">
        <is>
          <t>ÖSTERGÖTLANDS LÄN</t>
        </is>
      </c>
      <c r="G239" t="inlineStr">
        <is>
          <t>VALDEMARSVIK</t>
        </is>
      </c>
      <c r="I239" t="n">
        <v>0.8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t="n">
        <v>0</v>
      </c>
      <c r="S239" t="n">
        <v>0</v>
      </c>
      <c r="T239" t="n">
        <v>0</v>
      </c>
      <c r="U239" t="n">
        <v>0</v>
      </c>
      <c r="V239" s="2" t="inlineStr"/>
    </row>
    <row r="240" ht="15" customHeight="1">
      <c r="A240" t="inlineStr">
        <is>
          <t>A 45873-2023</t>
        </is>
      </c>
      <c r="B240" t="inlineStr">
        <is>
          <t>avverkningsanmälan</t>
        </is>
      </c>
      <c r="C240" t="inlineStr">
        <is>
          <t>Föryngringsavverkning</t>
        </is>
      </c>
      <c r="D240" s="1" t="n">
        <v>45195</v>
      </c>
      <c r="E240" s="1" t="n">
        <v>46322</v>
      </c>
      <c r="F240" t="inlineStr">
        <is>
          <t>ÖSTERGÖTLANDS LÄN</t>
        </is>
      </c>
      <c r="G240" t="inlineStr">
        <is>
          <t>VALDEMARSVIK</t>
        </is>
      </c>
      <c r="I240" t="n">
        <v>15.8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t="n">
        <v>0</v>
      </c>
      <c r="S240" t="n">
        <v>0</v>
      </c>
      <c r="T240" t="n">
        <v>0</v>
      </c>
      <c r="U240" t="n">
        <v>0</v>
      </c>
      <c r="V240" s="2" t="inlineStr"/>
    </row>
    <row r="241" ht="15" customHeight="1">
      <c r="A241" t="inlineStr">
        <is>
          <t>A 57144-2024</t>
        </is>
      </c>
      <c r="B241" t="inlineStr">
        <is>
          <t>avverkningsanmälan</t>
        </is>
      </c>
      <c r="C241" t="inlineStr">
        <is>
          <t>Föryngringsavverkning</t>
        </is>
      </c>
      <c r="D241" s="1" t="n">
        <v>45629</v>
      </c>
      <c r="E241" s="1" t="n">
        <v>46322</v>
      </c>
      <c r="F241" t="inlineStr">
        <is>
          <t>ÖSTERGÖTLANDS LÄN</t>
        </is>
      </c>
      <c r="G241" t="inlineStr">
        <is>
          <t>VALDEMARSVIK</t>
        </is>
      </c>
      <c r="I241" t="n">
        <v>1.8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t="n">
        <v>0</v>
      </c>
      <c r="S241" t="n">
        <v>0</v>
      </c>
      <c r="T241" t="n">
        <v>0</v>
      </c>
      <c r="U241" t="n">
        <v>0</v>
      </c>
      <c r="V241" s="2" t="inlineStr"/>
    </row>
    <row r="242" ht="15" customHeight="1">
      <c r="A242" t="inlineStr">
        <is>
          <t>A 34488-2026</t>
        </is>
      </c>
      <c r="B242" t="inlineStr">
        <is>
          <t>avverkningsanmälan</t>
        </is>
      </c>
      <c r="C242" t="inlineStr">
        <is>
          <t>Föryngringsavverkning</t>
        </is>
      </c>
      <c r="D242" s="1" t="n">
        <v>46255</v>
      </c>
      <c r="E242" s="1" t="n">
        <v>46322</v>
      </c>
      <c r="F242" t="inlineStr">
        <is>
          <t>ÖSTERGÖTLANDS LÄN</t>
        </is>
      </c>
      <c r="G242" t="inlineStr">
        <is>
          <t>VALDEMARSVIK</t>
        </is>
      </c>
      <c r="I242" t="n">
        <v>2.1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t="n">
        <v>0</v>
      </c>
      <c r="S242" t="n">
        <v>0</v>
      </c>
      <c r="T242" t="n">
        <v>0</v>
      </c>
      <c r="U242" t="n">
        <v>0</v>
      </c>
      <c r="V242" s="2" t="inlineStr"/>
    </row>
    <row r="243" ht="15" customHeight="1">
      <c r="A243" t="inlineStr">
        <is>
          <t>A 3276-2023</t>
        </is>
      </c>
      <c r="B243" t="inlineStr">
        <is>
          <t>avverkningsanmälan</t>
        </is>
      </c>
      <c r="C243" t="inlineStr">
        <is>
          <t>Föryngringsavverkning</t>
        </is>
      </c>
      <c r="D243" s="1" t="n">
        <v>44949</v>
      </c>
      <c r="E243" s="1" t="n">
        <v>46322</v>
      </c>
      <c r="F243" t="inlineStr">
        <is>
          <t>ÖSTERGÖTLANDS LÄN</t>
        </is>
      </c>
      <c r="G243" t="inlineStr">
        <is>
          <t>VALDEMARSVIK</t>
        </is>
      </c>
      <c r="I243" t="n">
        <v>0.5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t="n">
        <v>0</v>
      </c>
      <c r="S243" t="n">
        <v>0</v>
      </c>
      <c r="T243" t="n">
        <v>0</v>
      </c>
      <c r="U243" t="n">
        <v>0</v>
      </c>
      <c r="V243" s="2" t="inlineStr"/>
    </row>
    <row r="244" ht="15" customHeight="1">
      <c r="A244" t="inlineStr">
        <is>
          <t>A 50992-2023</t>
        </is>
      </c>
      <c r="B244" t="inlineStr">
        <is>
          <t>avverkningsanmälan</t>
        </is>
      </c>
      <c r="C244" t="inlineStr">
        <is>
          <t>Föryngringsavverkning</t>
        </is>
      </c>
      <c r="D244" s="1" t="n">
        <v>45218</v>
      </c>
      <c r="E244" s="1" t="n">
        <v>46322</v>
      </c>
      <c r="F244" t="inlineStr">
        <is>
          <t>ÖSTERGÖTLANDS LÄN</t>
        </is>
      </c>
      <c r="G244" t="inlineStr">
        <is>
          <t>VALDEMARSVIK</t>
        </is>
      </c>
      <c r="H244" t="inlineStr">
        <is>
          <t>Holmen skog AB</t>
        </is>
      </c>
      <c r="I244" t="n">
        <v>0.5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t="n">
        <v>0</v>
      </c>
      <c r="S244" t="n">
        <v>0</v>
      </c>
      <c r="T244" t="n">
        <v>0</v>
      </c>
      <c r="U244" t="n">
        <v>0</v>
      </c>
      <c r="V244" s="2" t="inlineStr"/>
    </row>
    <row r="245" ht="15" customHeight="1">
      <c r="A245" t="inlineStr">
        <is>
          <t>A 62048-2022</t>
        </is>
      </c>
      <c r="B245" t="inlineStr">
        <is>
          <t>avverkningsanmälan</t>
        </is>
      </c>
      <c r="C245" t="inlineStr">
        <is>
          <t>Föryngringsavverkning</t>
        </is>
      </c>
      <c r="D245" s="1" t="n">
        <v>44918</v>
      </c>
      <c r="E245" s="1" t="n">
        <v>46322</v>
      </c>
      <c r="F245" t="inlineStr">
        <is>
          <t>ÖSTERGÖTLANDS LÄN</t>
        </is>
      </c>
      <c r="G245" t="inlineStr">
        <is>
          <t>VALDEMARSVIK</t>
        </is>
      </c>
      <c r="I245" t="n">
        <v>5.5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t="n">
        <v>0</v>
      </c>
      <c r="S245" t="n">
        <v>0</v>
      </c>
      <c r="T245" t="n">
        <v>0</v>
      </c>
      <c r="U245" t="n">
        <v>0</v>
      </c>
      <c r="V245" s="2" t="inlineStr"/>
    </row>
    <row r="246" ht="15" customHeight="1">
      <c r="A246" t="inlineStr">
        <is>
          <t>A 10120-2025</t>
        </is>
      </c>
      <c r="B246" t="inlineStr">
        <is>
          <t>avverkningsanmälan</t>
        </is>
      </c>
      <c r="C246" t="inlineStr">
        <is>
          <t>Föryngringsavverkning</t>
        </is>
      </c>
      <c r="D246" s="1" t="n">
        <v>45719</v>
      </c>
      <c r="E246" s="1" t="n">
        <v>46322</v>
      </c>
      <c r="F246" t="inlineStr">
        <is>
          <t>ÖSTERGÖTLANDS LÄN</t>
        </is>
      </c>
      <c r="G246" t="inlineStr">
        <is>
          <t>VALDEMARSVIK</t>
        </is>
      </c>
      <c r="I246" t="n">
        <v>2.8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t="n">
        <v>0</v>
      </c>
      <c r="S246" t="n">
        <v>0</v>
      </c>
      <c r="T246" t="n">
        <v>0</v>
      </c>
      <c r="U246" t="n">
        <v>0</v>
      </c>
      <c r="V246" s="2" t="inlineStr"/>
    </row>
    <row r="247" ht="15" customHeight="1">
      <c r="A247" t="inlineStr">
        <is>
          <t>A 34489-2026</t>
        </is>
      </c>
      <c r="B247" t="inlineStr">
        <is>
          <t>avverkningsanmälan</t>
        </is>
      </c>
      <c r="C247" t="inlineStr">
        <is>
          <t>Föryngringsavverkning</t>
        </is>
      </c>
      <c r="D247" s="1" t="n">
        <v>46255</v>
      </c>
      <c r="E247" s="1" t="n">
        <v>46322</v>
      </c>
      <c r="F247" t="inlineStr">
        <is>
          <t>ÖSTERGÖTLANDS LÄN</t>
        </is>
      </c>
      <c r="G247" t="inlineStr">
        <is>
          <t>VALDEMARSVIK</t>
        </is>
      </c>
      <c r="I247" t="n">
        <v>1.7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t="n">
        <v>0</v>
      </c>
      <c r="S247" t="n">
        <v>0</v>
      </c>
      <c r="T247" t="n">
        <v>0</v>
      </c>
      <c r="U247" t="n">
        <v>0</v>
      </c>
      <c r="V247" s="2" t="inlineStr"/>
    </row>
    <row r="248" ht="15" customHeight="1">
      <c r="A248" t="inlineStr">
        <is>
          <t>A 21397-2023</t>
        </is>
      </c>
      <c r="B248" t="inlineStr">
        <is>
          <t>avverkningsanmälan</t>
        </is>
      </c>
      <c r="C248" t="inlineStr">
        <is>
          <t>Föryngringsavverkning</t>
        </is>
      </c>
      <c r="D248" s="1" t="n">
        <v>45063</v>
      </c>
      <c r="E248" s="1" t="n">
        <v>46322</v>
      </c>
      <c r="F248" t="inlineStr">
        <is>
          <t>ÖSTERGÖTLANDS LÄN</t>
        </is>
      </c>
      <c r="G248" t="inlineStr">
        <is>
          <t>VALDEMARSVIK</t>
        </is>
      </c>
      <c r="I248" t="n">
        <v>1.4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t="n">
        <v>0</v>
      </c>
      <c r="S248" t="n">
        <v>0</v>
      </c>
      <c r="T248" t="n">
        <v>0</v>
      </c>
      <c r="U248" t="n">
        <v>0</v>
      </c>
      <c r="V248" s="2" t="inlineStr"/>
    </row>
    <row r="249" ht="15" customHeight="1">
      <c r="A249" t="inlineStr">
        <is>
          <t>A 14082-2023</t>
        </is>
      </c>
      <c r="B249" t="inlineStr">
        <is>
          <t>avverkningsanmälan</t>
        </is>
      </c>
      <c r="C249" t="inlineStr">
        <is>
          <t>Föryngringsavverkning</t>
        </is>
      </c>
      <c r="D249" s="1" t="n">
        <v>45009</v>
      </c>
      <c r="E249" s="1" t="n">
        <v>46322</v>
      </c>
      <c r="F249" t="inlineStr">
        <is>
          <t>ÖSTERGÖTLANDS LÄN</t>
        </is>
      </c>
      <c r="G249" t="inlineStr">
        <is>
          <t>VALDEMARSVIK</t>
        </is>
      </c>
      <c r="I249" t="n">
        <v>0.6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t="n">
        <v>0</v>
      </c>
      <c r="S249" t="n">
        <v>0</v>
      </c>
      <c r="T249" t="n">
        <v>0</v>
      </c>
      <c r="U249" t="n">
        <v>0</v>
      </c>
      <c r="V249" s="2" t="inlineStr"/>
    </row>
    <row r="250" ht="15" customHeight="1">
      <c r="A250" t="inlineStr">
        <is>
          <t>A 4125-2025</t>
        </is>
      </c>
      <c r="B250" t="inlineStr">
        <is>
          <t>avverkningsanmälan</t>
        </is>
      </c>
      <c r="C250" t="inlineStr">
        <is>
          <t>Föryngringsavverkning</t>
        </is>
      </c>
      <c r="D250" s="1" t="n">
        <v>45685</v>
      </c>
      <c r="E250" s="1" t="n">
        <v>46322</v>
      </c>
      <c r="F250" t="inlineStr">
        <is>
          <t>ÖSTERGÖTLANDS LÄN</t>
        </is>
      </c>
      <c r="G250" t="inlineStr">
        <is>
          <t>VALDEMARSVIK</t>
        </is>
      </c>
      <c r="I250" t="n">
        <v>0.7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t="n">
        <v>0</v>
      </c>
      <c r="S250" t="n">
        <v>0</v>
      </c>
      <c r="T250" t="n">
        <v>0</v>
      </c>
      <c r="U250" t="n">
        <v>0</v>
      </c>
      <c r="V250" s="2" t="inlineStr"/>
    </row>
    <row r="251" ht="15" customHeight="1">
      <c r="A251" t="inlineStr">
        <is>
          <t>A 42234-2026</t>
        </is>
      </c>
      <c r="B251" t="inlineStr">
        <is>
          <t>avverkningsanmälan</t>
        </is>
      </c>
      <c r="C251" t="inlineStr">
        <is>
          <t>Föryngringsavverkning</t>
        </is>
      </c>
      <c r="D251" s="1" t="n">
        <v>46307</v>
      </c>
      <c r="E251" s="1" t="n">
        <v>46322</v>
      </c>
      <c r="F251" t="inlineStr">
        <is>
          <t>ÖSTERGÖTLANDS LÄN</t>
        </is>
      </c>
      <c r="G251" t="inlineStr">
        <is>
          <t>VALDEMARSVIK</t>
        </is>
      </c>
      <c r="I251" t="n">
        <v>0.8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t="n">
        <v>0</v>
      </c>
      <c r="S251" t="n">
        <v>0</v>
      </c>
      <c r="T251" t="n">
        <v>0</v>
      </c>
      <c r="U251" t="n">
        <v>0</v>
      </c>
      <c r="V251" s="2" t="inlineStr"/>
    </row>
    <row r="252" ht="15" customHeight="1">
      <c r="A252" t="inlineStr">
        <is>
          <t>A 41536-2025</t>
        </is>
      </c>
      <c r="B252" t="inlineStr">
        <is>
          <t>avverkningsanmälan</t>
        </is>
      </c>
      <c r="C252" t="inlineStr">
        <is>
          <t>Föryngringsavverkning</t>
        </is>
      </c>
      <c r="D252" s="1" t="n">
        <v>45901</v>
      </c>
      <c r="E252" s="1" t="n">
        <v>46322</v>
      </c>
      <c r="F252" t="inlineStr">
        <is>
          <t>ÖSTERGÖTLANDS LÄN</t>
        </is>
      </c>
      <c r="G252" t="inlineStr">
        <is>
          <t>VALDEMARSVIK</t>
        </is>
      </c>
      <c r="I252" t="n">
        <v>2.7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t="n">
        <v>0</v>
      </c>
      <c r="S252" t="n">
        <v>0</v>
      </c>
      <c r="T252" t="n">
        <v>0</v>
      </c>
      <c r="U252" t="n">
        <v>0</v>
      </c>
      <c r="V252" s="2" t="inlineStr"/>
    </row>
    <row r="253" ht="15" customHeight="1">
      <c r="A253" t="inlineStr">
        <is>
          <t>A 42149-2026</t>
        </is>
      </c>
      <c r="B253" t="inlineStr">
        <is>
          <t>avverkningsanmälan</t>
        </is>
      </c>
      <c r="C253" t="inlineStr">
        <is>
          <t>Föryngringsavverkning</t>
        </is>
      </c>
      <c r="D253" s="1" t="n">
        <v>46304</v>
      </c>
      <c r="E253" s="1" t="n">
        <v>46322</v>
      </c>
      <c r="F253" t="inlineStr">
        <is>
          <t>ÖSTERGÖTLANDS LÄN</t>
        </is>
      </c>
      <c r="G253" t="inlineStr">
        <is>
          <t>VALDEMARSVIK</t>
        </is>
      </c>
      <c r="I253" t="n">
        <v>0.8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t="n">
        <v>0</v>
      </c>
      <c r="S253" t="n">
        <v>0</v>
      </c>
      <c r="T253" t="n">
        <v>0</v>
      </c>
      <c r="U253" t="n">
        <v>0</v>
      </c>
      <c r="V253" s="2" t="inlineStr"/>
    </row>
    <row r="254" ht="15" customHeight="1">
      <c r="A254" t="inlineStr">
        <is>
          <t>A 42148-2026</t>
        </is>
      </c>
      <c r="B254" t="inlineStr">
        <is>
          <t>avverkningsanmälan</t>
        </is>
      </c>
      <c r="C254" t="inlineStr">
        <is>
          <t>Föryngringsavverkning</t>
        </is>
      </c>
      <c r="D254" s="1" t="n">
        <v>46304</v>
      </c>
      <c r="E254" s="1" t="n">
        <v>46322</v>
      </c>
      <c r="F254" t="inlineStr">
        <is>
          <t>ÖSTERGÖTLANDS LÄN</t>
        </is>
      </c>
      <c r="G254" t="inlineStr">
        <is>
          <t>VALDEMARSVIK</t>
        </is>
      </c>
      <c r="I254" t="n">
        <v>1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t="n">
        <v>0</v>
      </c>
      <c r="S254" t="n">
        <v>0</v>
      </c>
      <c r="T254" t="n">
        <v>0</v>
      </c>
      <c r="U254" t="n">
        <v>0</v>
      </c>
      <c r="V254" s="2" t="inlineStr"/>
    </row>
    <row r="255" ht="15" customHeight="1">
      <c r="A255" t="inlineStr">
        <is>
          <t>A 42561-2026</t>
        </is>
      </c>
      <c r="B255" t="inlineStr">
        <is>
          <t>avverkningsanmälan</t>
        </is>
      </c>
      <c r="C255" t="inlineStr">
        <is>
          <t>Föryngringsavverkning</t>
        </is>
      </c>
      <c r="D255" s="1" t="n">
        <v>46308</v>
      </c>
      <c r="E255" s="1" t="n">
        <v>46322</v>
      </c>
      <c r="F255" t="inlineStr">
        <is>
          <t>ÖSTERGÖTLANDS LÄN</t>
        </is>
      </c>
      <c r="G255" t="inlineStr">
        <is>
          <t>VALDEMARSVIK</t>
        </is>
      </c>
      <c r="I255" t="n">
        <v>0.7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t="n">
        <v>0</v>
      </c>
      <c r="S255" t="n">
        <v>0</v>
      </c>
      <c r="T255" t="n">
        <v>0</v>
      </c>
      <c r="U255" t="n">
        <v>0</v>
      </c>
      <c r="V255" s="2" t="inlineStr"/>
    </row>
    <row r="256" ht="15" customHeight="1">
      <c r="A256" t="inlineStr">
        <is>
          <t>A 35740-2026</t>
        </is>
      </c>
      <c r="B256" t="inlineStr">
        <is>
          <t>avverkningsanmälan</t>
        </is>
      </c>
      <c r="C256" t="inlineStr">
        <is>
          <t>Föryngringsavverkning</t>
        </is>
      </c>
      <c r="D256" s="1" t="n">
        <v>46265</v>
      </c>
      <c r="E256" s="1" t="n">
        <v>46322</v>
      </c>
      <c r="F256" t="inlineStr">
        <is>
          <t>ÖSTERGÖTLANDS LÄN</t>
        </is>
      </c>
      <c r="G256" t="inlineStr">
        <is>
          <t>VALDEMARSVIK</t>
        </is>
      </c>
      <c r="I256" t="n">
        <v>1.7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t="n">
        <v>0</v>
      </c>
      <c r="S256" t="n">
        <v>0</v>
      </c>
      <c r="T256" t="n">
        <v>0</v>
      </c>
      <c r="U256" t="n">
        <v>0</v>
      </c>
      <c r="V256" s="2" t="inlineStr"/>
    </row>
    <row r="257" ht="15" customHeight="1">
      <c r="A257" t="inlineStr">
        <is>
          <t>A 4047-2023</t>
        </is>
      </c>
      <c r="B257" t="inlineStr">
        <is>
          <t>avverkningsanmälan</t>
        </is>
      </c>
      <c r="C257" t="inlineStr">
        <is>
          <t>Föryngringsavverkning</t>
        </is>
      </c>
      <c r="D257" s="1" t="n">
        <v>44952</v>
      </c>
      <c r="E257" s="1" t="n">
        <v>46322</v>
      </c>
      <c r="F257" t="inlineStr">
        <is>
          <t>ÖSTERGÖTLANDS LÄN</t>
        </is>
      </c>
      <c r="G257" t="inlineStr">
        <is>
          <t>VALDEMARSVIK</t>
        </is>
      </c>
      <c r="I257" t="n">
        <v>6.5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t="n">
        <v>0</v>
      </c>
      <c r="S257" t="n">
        <v>0</v>
      </c>
      <c r="T257" t="n">
        <v>0</v>
      </c>
      <c r="U257" t="n">
        <v>0</v>
      </c>
      <c r="V257" s="2" t="inlineStr"/>
    </row>
    <row r="258" ht="15" customHeight="1">
      <c r="A258" t="inlineStr">
        <is>
          <t>A 42548-2026</t>
        </is>
      </c>
      <c r="B258" t="inlineStr">
        <is>
          <t>avverkningsanmälan</t>
        </is>
      </c>
      <c r="C258" t="inlineStr">
        <is>
          <t>Föryngringsavverkning</t>
        </is>
      </c>
      <c r="D258" s="1" t="n">
        <v>46308</v>
      </c>
      <c r="E258" s="1" t="n">
        <v>46322</v>
      </c>
      <c r="F258" t="inlineStr">
        <is>
          <t>ÖSTERGÖTLANDS LÄN</t>
        </is>
      </c>
      <c r="G258" t="inlineStr">
        <is>
          <t>VALDEMARSVIK</t>
        </is>
      </c>
      <c r="I258" t="n">
        <v>2.9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t="n">
        <v>0</v>
      </c>
      <c r="S258" t="n">
        <v>0</v>
      </c>
      <c r="T258" t="n">
        <v>0</v>
      </c>
      <c r="U258" t="n">
        <v>0</v>
      </c>
      <c r="V258" s="2" t="inlineStr"/>
    </row>
    <row r="259" ht="15" customHeight="1">
      <c r="A259" t="inlineStr">
        <is>
          <t>A 42556-2026</t>
        </is>
      </c>
      <c r="B259" t="inlineStr">
        <is>
          <t>avverkningsanmälan</t>
        </is>
      </c>
      <c r="C259" t="inlineStr">
        <is>
          <t>Föryngringsavverkning</t>
        </is>
      </c>
      <c r="D259" s="1" t="n">
        <v>46308</v>
      </c>
      <c r="E259" s="1" t="n">
        <v>46322</v>
      </c>
      <c r="F259" t="inlineStr">
        <is>
          <t>ÖSTERGÖTLANDS LÄN</t>
        </is>
      </c>
      <c r="G259" t="inlineStr">
        <is>
          <t>VALDEMARSVIK</t>
        </is>
      </c>
      <c r="I259" t="n">
        <v>0.9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t="n">
        <v>0</v>
      </c>
      <c r="S259" t="n">
        <v>0</v>
      </c>
      <c r="T259" t="n">
        <v>0</v>
      </c>
      <c r="U259" t="n">
        <v>0</v>
      </c>
      <c r="V259" s="2" t="inlineStr"/>
    </row>
    <row r="260" ht="15" customHeight="1">
      <c r="A260" t="inlineStr">
        <is>
          <t>A 42557-2026</t>
        </is>
      </c>
      <c r="B260" t="inlineStr">
        <is>
          <t>avverkningsanmälan</t>
        </is>
      </c>
      <c r="C260" t="inlineStr">
        <is>
          <t>Föryngringsavverkning</t>
        </is>
      </c>
      <c r="D260" s="1" t="n">
        <v>46308</v>
      </c>
      <c r="E260" s="1" t="n">
        <v>46322</v>
      </c>
      <c r="F260" t="inlineStr">
        <is>
          <t>ÖSTERGÖTLANDS LÄN</t>
        </is>
      </c>
      <c r="G260" t="inlineStr">
        <is>
          <t>VALDEMARSVIK</t>
        </is>
      </c>
      <c r="I260" t="n">
        <v>1.5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t="n">
        <v>0</v>
      </c>
      <c r="S260" t="n">
        <v>0</v>
      </c>
      <c r="T260" t="n">
        <v>0</v>
      </c>
      <c r="U260" t="n">
        <v>0</v>
      </c>
      <c r="V260" s="2" t="inlineStr"/>
    </row>
    <row r="261" ht="15" customHeight="1">
      <c r="A261" t="inlineStr">
        <is>
          <t>A 35924-2026</t>
        </is>
      </c>
      <c r="B261" t="inlineStr">
        <is>
          <t>avverkningsanmälan</t>
        </is>
      </c>
      <c r="C261" t="inlineStr">
        <is>
          <t>Föryngringsavverkning</t>
        </is>
      </c>
      <c r="D261" s="1" t="n">
        <v>46266</v>
      </c>
      <c r="E261" s="1" t="n">
        <v>46322</v>
      </c>
      <c r="F261" t="inlineStr">
        <is>
          <t>ÖSTERGÖTLANDS LÄN</t>
        </is>
      </c>
      <c r="G261" t="inlineStr">
        <is>
          <t>VALDEMARSVIK</t>
        </is>
      </c>
      <c r="I261" t="n">
        <v>1.6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t="n">
        <v>0</v>
      </c>
      <c r="S261" t="n">
        <v>0</v>
      </c>
      <c r="T261" t="n">
        <v>0</v>
      </c>
      <c r="U261" t="n">
        <v>0</v>
      </c>
      <c r="V261" s="2" t="inlineStr"/>
    </row>
    <row r="262" ht="15" customHeight="1">
      <c r="A262" t="inlineStr">
        <is>
          <t>A 47962-2023</t>
        </is>
      </c>
      <c r="B262" t="inlineStr">
        <is>
          <t>avverkningsanmälan</t>
        </is>
      </c>
      <c r="C262" t="inlineStr">
        <is>
          <t>Föryngringsavverkning</t>
        </is>
      </c>
      <c r="D262" s="1" t="n">
        <v>45204</v>
      </c>
      <c r="E262" s="1" t="n">
        <v>46322</v>
      </c>
      <c r="F262" t="inlineStr">
        <is>
          <t>ÖSTERGÖTLANDS LÄN</t>
        </is>
      </c>
      <c r="G262" t="inlineStr">
        <is>
          <t>VALDEMARSVIK</t>
        </is>
      </c>
      <c r="I262" t="n">
        <v>1.3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t="n">
        <v>0</v>
      </c>
      <c r="S262" t="n">
        <v>0</v>
      </c>
      <c r="T262" t="n">
        <v>0</v>
      </c>
      <c r="U262" t="n">
        <v>0</v>
      </c>
      <c r="V262" s="2" t="inlineStr"/>
    </row>
    <row r="263" ht="15" customHeight="1">
      <c r="A263" t="inlineStr">
        <is>
          <t>A 42553-2026</t>
        </is>
      </c>
      <c r="B263" t="inlineStr">
        <is>
          <t>avverkningsanmälan</t>
        </is>
      </c>
      <c r="C263" t="inlineStr">
        <is>
          <t>Föryngringsavverkning</t>
        </is>
      </c>
      <c r="D263" s="1" t="n">
        <v>46308</v>
      </c>
      <c r="E263" s="1" t="n">
        <v>46322</v>
      </c>
      <c r="F263" t="inlineStr">
        <is>
          <t>ÖSTERGÖTLANDS LÄN</t>
        </is>
      </c>
      <c r="G263" t="inlineStr">
        <is>
          <t>VALDEMARSVIK</t>
        </is>
      </c>
      <c r="I263" t="n">
        <v>1.9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t="n">
        <v>0</v>
      </c>
      <c r="S263" t="n">
        <v>0</v>
      </c>
      <c r="T263" t="n">
        <v>0</v>
      </c>
      <c r="U263" t="n">
        <v>0</v>
      </c>
      <c r="V263" s="2" t="inlineStr"/>
    </row>
    <row r="264" ht="15" customHeight="1">
      <c r="A264" t="inlineStr">
        <is>
          <t>A 42558-2026</t>
        </is>
      </c>
      <c r="B264" t="inlineStr">
        <is>
          <t>avverkningsanmälan</t>
        </is>
      </c>
      <c r="C264" t="inlineStr">
        <is>
          <t>Föryngringsavverkning</t>
        </is>
      </c>
      <c r="D264" s="1" t="n">
        <v>46308</v>
      </c>
      <c r="E264" s="1" t="n">
        <v>46322</v>
      </c>
      <c r="F264" t="inlineStr">
        <is>
          <t>ÖSTERGÖTLANDS LÄN</t>
        </is>
      </c>
      <c r="G264" t="inlineStr">
        <is>
          <t>VALDEMARSVIK</t>
        </is>
      </c>
      <c r="I264" t="n">
        <v>1.8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t="n">
        <v>0</v>
      </c>
      <c r="S264" t="n">
        <v>0</v>
      </c>
      <c r="T264" t="n">
        <v>0</v>
      </c>
      <c r="U264" t="n">
        <v>0</v>
      </c>
      <c r="V264" s="2" t="inlineStr"/>
    </row>
    <row r="265" ht="15" customHeight="1">
      <c r="A265" t="inlineStr">
        <is>
          <t>A 42288-2026</t>
        </is>
      </c>
      <c r="B265" t="inlineStr">
        <is>
          <t>avverkningsanmälan</t>
        </is>
      </c>
      <c r="C265" t="inlineStr">
        <is>
          <t>Avverkning för annat ändamål</t>
        </is>
      </c>
      <c r="D265" s="1" t="n">
        <v>46307</v>
      </c>
      <c r="E265" s="1" t="n">
        <v>46322</v>
      </c>
      <c r="F265" t="inlineStr">
        <is>
          <t>ÖSTERGÖTLANDS LÄN</t>
        </is>
      </c>
      <c r="G265" t="inlineStr">
        <is>
          <t>VALDEMARSVIK</t>
        </is>
      </c>
      <c r="I265" t="n">
        <v>2.3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t="n">
        <v>0</v>
      </c>
      <c r="S265" t="n">
        <v>0</v>
      </c>
      <c r="T265" t="n">
        <v>0</v>
      </c>
      <c r="U265" t="n">
        <v>0</v>
      </c>
      <c r="V265" s="2" t="inlineStr"/>
    </row>
    <row r="266" ht="15" customHeight="1">
      <c r="A266" t="inlineStr">
        <is>
          <t>A 42611-2026</t>
        </is>
      </c>
      <c r="B266" t="inlineStr">
        <is>
          <t>avverkningsanmälan</t>
        </is>
      </c>
      <c r="C266" t="inlineStr">
        <is>
          <t>Föryngringsavverkning</t>
        </is>
      </c>
      <c r="D266" s="1" t="n">
        <v>46309</v>
      </c>
      <c r="E266" s="1" t="n">
        <v>46322</v>
      </c>
      <c r="F266" t="inlineStr">
        <is>
          <t>ÖSTERGÖTLANDS LÄN</t>
        </is>
      </c>
      <c r="G266" t="inlineStr">
        <is>
          <t>VALDEMARSVIK</t>
        </is>
      </c>
      <c r="I266" t="n">
        <v>2.4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t="n">
        <v>0</v>
      </c>
      <c r="S266" t="n">
        <v>0</v>
      </c>
      <c r="T266" t="n">
        <v>0</v>
      </c>
      <c r="U266" t="n">
        <v>0</v>
      </c>
      <c r="V266" s="2" t="inlineStr"/>
    </row>
    <row r="267" ht="15" customHeight="1">
      <c r="A267" t="inlineStr">
        <is>
          <t>A 42551-2026</t>
        </is>
      </c>
      <c r="B267" t="inlineStr">
        <is>
          <t>avverkningsanmälan</t>
        </is>
      </c>
      <c r="C267" t="inlineStr">
        <is>
          <t>Föryngringsavverkning</t>
        </is>
      </c>
      <c r="D267" s="1" t="n">
        <v>46308</v>
      </c>
      <c r="E267" s="1" t="n">
        <v>46322</v>
      </c>
      <c r="F267" t="inlineStr">
        <is>
          <t>ÖSTERGÖTLANDS LÄN</t>
        </is>
      </c>
      <c r="G267" t="inlineStr">
        <is>
          <t>VALDEMARSVIK</t>
        </is>
      </c>
      <c r="I267" t="n">
        <v>0.8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t="n">
        <v>0</v>
      </c>
      <c r="S267" t="n">
        <v>0</v>
      </c>
      <c r="T267" t="n">
        <v>0</v>
      </c>
      <c r="U267" t="n">
        <v>0</v>
      </c>
      <c r="V267" s="2" t="inlineStr"/>
    </row>
    <row r="268" ht="15" customHeight="1">
      <c r="A268" t="inlineStr">
        <is>
          <t>A 42554-2026</t>
        </is>
      </c>
      <c r="B268" t="inlineStr">
        <is>
          <t>avverkningsanmälan</t>
        </is>
      </c>
      <c r="C268" t="inlineStr">
        <is>
          <t>Föryngringsavverkning</t>
        </is>
      </c>
      <c r="D268" s="1" t="n">
        <v>46308</v>
      </c>
      <c r="E268" s="1" t="n">
        <v>46322</v>
      </c>
      <c r="F268" t="inlineStr">
        <is>
          <t>ÖSTERGÖTLANDS LÄN</t>
        </is>
      </c>
      <c r="G268" t="inlineStr">
        <is>
          <t>VALDEMARSVIK</t>
        </is>
      </c>
      <c r="I268" t="n">
        <v>1.3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t="n">
        <v>0</v>
      </c>
      <c r="S268" t="n">
        <v>0</v>
      </c>
      <c r="T268" t="n">
        <v>0</v>
      </c>
      <c r="U268" t="n">
        <v>0</v>
      </c>
      <c r="V268" s="2" t="inlineStr"/>
    </row>
    <row r="269" ht="15" customHeight="1">
      <c r="A269" t="inlineStr">
        <is>
          <t>A 49345-2023</t>
        </is>
      </c>
      <c r="B269" t="inlineStr">
        <is>
          <t>avverkningsanmälan</t>
        </is>
      </c>
      <c r="C269" t="inlineStr">
        <is>
          <t>Föryngringsavverkning</t>
        </is>
      </c>
      <c r="D269" s="1" t="n">
        <v>45211</v>
      </c>
      <c r="E269" s="1" t="n">
        <v>46322</v>
      </c>
      <c r="F269" t="inlineStr">
        <is>
          <t>ÖSTERGÖTLANDS LÄN</t>
        </is>
      </c>
      <c r="G269" t="inlineStr">
        <is>
          <t>VALDEMARSVIK</t>
        </is>
      </c>
      <c r="I269" t="n">
        <v>3.8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t="n">
        <v>0</v>
      </c>
      <c r="S269" t="n">
        <v>0</v>
      </c>
      <c r="T269" t="n">
        <v>0</v>
      </c>
      <c r="U269" t="n">
        <v>0</v>
      </c>
      <c r="V269" s="2" t="inlineStr"/>
    </row>
    <row r="270" ht="15" customHeight="1">
      <c r="A270" t="inlineStr">
        <is>
          <t>A 49348-2023</t>
        </is>
      </c>
      <c r="B270" t="inlineStr">
        <is>
          <t>avverkningsanmälan</t>
        </is>
      </c>
      <c r="C270" t="inlineStr">
        <is>
          <t>Föryngringsavverkning</t>
        </is>
      </c>
      <c r="D270" s="1" t="n">
        <v>45211</v>
      </c>
      <c r="E270" s="1" t="n">
        <v>46322</v>
      </c>
      <c r="F270" t="inlineStr">
        <is>
          <t>ÖSTERGÖTLANDS LÄN</t>
        </is>
      </c>
      <c r="G270" t="inlineStr">
        <is>
          <t>VALDEMARSVIK</t>
        </is>
      </c>
      <c r="I270" t="n">
        <v>0.8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t="n">
        <v>0</v>
      </c>
      <c r="S270" t="n">
        <v>0</v>
      </c>
      <c r="T270" t="n">
        <v>0</v>
      </c>
      <c r="U270" t="n">
        <v>0</v>
      </c>
      <c r="V270" s="2" t="inlineStr"/>
    </row>
    <row r="271" ht="15" customHeight="1">
      <c r="A271" t="inlineStr">
        <is>
          <t>A 54849-2023</t>
        </is>
      </c>
      <c r="B271" t="inlineStr">
        <is>
          <t>avverkningsanmälan</t>
        </is>
      </c>
      <c r="C271" t="inlineStr">
        <is>
          <t>Föryngringsavverkning</t>
        </is>
      </c>
      <c r="D271" s="1" t="n">
        <v>45236</v>
      </c>
      <c r="E271" s="1" t="n">
        <v>46322</v>
      </c>
      <c r="F271" t="inlineStr">
        <is>
          <t>ÖSTERGÖTLANDS LÄN</t>
        </is>
      </c>
      <c r="G271" t="inlineStr">
        <is>
          <t>VALDEMARSVIK</t>
        </is>
      </c>
      <c r="I271" t="n">
        <v>1.2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t="n">
        <v>0</v>
      </c>
      <c r="S271" t="n">
        <v>0</v>
      </c>
      <c r="T271" t="n">
        <v>0</v>
      </c>
      <c r="U271" t="n">
        <v>0</v>
      </c>
      <c r="V271" s="2" t="inlineStr"/>
    </row>
    <row r="272" ht="15" customHeight="1">
      <c r="A272" t="inlineStr">
        <is>
          <t>A 45377-2023</t>
        </is>
      </c>
      <c r="B272" t="inlineStr">
        <is>
          <t>avverkningsanmälan</t>
        </is>
      </c>
      <c r="C272" t="inlineStr">
        <is>
          <t>Föryngringsavverkning</t>
        </is>
      </c>
      <c r="D272" s="1" t="n">
        <v>45193</v>
      </c>
      <c r="E272" s="1" t="n">
        <v>46322</v>
      </c>
      <c r="F272" t="inlineStr">
        <is>
          <t>ÖSTERGÖTLANDS LÄN</t>
        </is>
      </c>
      <c r="G272" t="inlineStr">
        <is>
          <t>VALDEMARSVIK</t>
        </is>
      </c>
      <c r="I272" t="n">
        <v>2.7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t="n">
        <v>0</v>
      </c>
      <c r="S272" t="n">
        <v>0</v>
      </c>
      <c r="T272" t="n">
        <v>0</v>
      </c>
      <c r="U272" t="n">
        <v>0</v>
      </c>
      <c r="V272" s="2" t="inlineStr"/>
    </row>
    <row r="273" ht="15" customHeight="1">
      <c r="A273" t="inlineStr">
        <is>
          <t>A 47354-2023</t>
        </is>
      </c>
      <c r="B273" t="inlineStr">
        <is>
          <t>avverkningsanmälan</t>
        </is>
      </c>
      <c r="C273" t="inlineStr">
        <is>
          <t>Föryngringsavverkning</t>
        </is>
      </c>
      <c r="D273" s="1" t="n">
        <v>45202</v>
      </c>
      <c r="E273" s="1" t="n">
        <v>46322</v>
      </c>
      <c r="F273" t="inlineStr">
        <is>
          <t>ÖSTERGÖTLANDS LÄN</t>
        </is>
      </c>
      <c r="G273" t="inlineStr">
        <is>
          <t>VALDEMARSVIK</t>
        </is>
      </c>
      <c r="I273" t="n">
        <v>7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t="n">
        <v>0</v>
      </c>
      <c r="S273" t="n">
        <v>0</v>
      </c>
      <c r="T273" t="n">
        <v>0</v>
      </c>
      <c r="U273" t="n">
        <v>0</v>
      </c>
      <c r="V273" s="2" t="inlineStr"/>
    </row>
    <row r="274" ht="15" customHeight="1">
      <c r="A274" t="inlineStr">
        <is>
          <t>A 34572-2024</t>
        </is>
      </c>
      <c r="B274" t="inlineStr">
        <is>
          <t>avverkningsanmälan</t>
        </is>
      </c>
      <c r="C274" t="inlineStr">
        <is>
          <t>Föryngringsavverkning</t>
        </is>
      </c>
      <c r="D274" s="1" t="n">
        <v>45526</v>
      </c>
      <c r="E274" s="1" t="n">
        <v>46322</v>
      </c>
      <c r="F274" t="inlineStr">
        <is>
          <t>ÖSTERGÖTLANDS LÄN</t>
        </is>
      </c>
      <c r="G274" t="inlineStr">
        <is>
          <t>VALDEMARSVIK</t>
        </is>
      </c>
      <c r="I274" t="n">
        <v>0.8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t="n">
        <v>0</v>
      </c>
      <c r="S274" t="n">
        <v>0</v>
      </c>
      <c r="T274" t="n">
        <v>0</v>
      </c>
      <c r="U274" t="n">
        <v>0</v>
      </c>
      <c r="V274" s="2" t="inlineStr"/>
    </row>
    <row r="275" ht="15" customHeight="1">
      <c r="A275" t="inlineStr">
        <is>
          <t>A 49931-2024</t>
        </is>
      </c>
      <c r="B275" t="inlineStr">
        <is>
          <t>avverkningsanmälan</t>
        </is>
      </c>
      <c r="C275" t="inlineStr">
        <is>
          <t>Föryngringsavverkning</t>
        </is>
      </c>
      <c r="D275" s="1" t="n">
        <v>45597</v>
      </c>
      <c r="E275" s="1" t="n">
        <v>46322</v>
      </c>
      <c r="F275" t="inlineStr">
        <is>
          <t>ÖSTERGÖTLANDS LÄN</t>
        </is>
      </c>
      <c r="G275" t="inlineStr">
        <is>
          <t>VALDEMARSVIK</t>
        </is>
      </c>
      <c r="H275" t="inlineStr">
        <is>
          <t>Holmen skog AB</t>
        </is>
      </c>
      <c r="I275" t="n">
        <v>1.2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t="n">
        <v>0</v>
      </c>
      <c r="S275" t="n">
        <v>0</v>
      </c>
      <c r="T275" t="n">
        <v>0</v>
      </c>
      <c r="U275" t="n">
        <v>0</v>
      </c>
      <c r="V275" s="2" t="inlineStr"/>
    </row>
    <row r="276" ht="15" customHeight="1">
      <c r="A276" t="inlineStr">
        <is>
          <t>A 54785-2022</t>
        </is>
      </c>
      <c r="B276" t="inlineStr">
        <is>
          <t>avverkningsanmälan</t>
        </is>
      </c>
      <c r="C276" t="inlineStr">
        <is>
          <t>Föryngringsavverkning</t>
        </is>
      </c>
      <c r="D276" s="1" t="n">
        <v>44883</v>
      </c>
      <c r="E276" s="1" t="n">
        <v>46322</v>
      </c>
      <c r="F276" t="inlineStr">
        <is>
          <t>ÖSTERGÖTLANDS LÄN</t>
        </is>
      </c>
      <c r="G276" t="inlineStr">
        <is>
          <t>VALDEMARSVIK</t>
        </is>
      </c>
      <c r="I276" t="n">
        <v>8.5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t="n">
        <v>0</v>
      </c>
      <c r="S276" t="n">
        <v>0</v>
      </c>
      <c r="T276" t="n">
        <v>0</v>
      </c>
      <c r="U276" t="n">
        <v>0</v>
      </c>
      <c r="V276" s="2" t="inlineStr"/>
    </row>
    <row r="277" ht="15" customHeight="1">
      <c r="A277" t="inlineStr">
        <is>
          <t>A 36555-2026</t>
        </is>
      </c>
      <c r="B277" t="inlineStr">
        <is>
          <t>avverkningsanmälan</t>
        </is>
      </c>
      <c r="C277" t="inlineStr">
        <is>
          <t>Föryngringsavverkning</t>
        </is>
      </c>
      <c r="D277" s="1" t="n">
        <v>46269</v>
      </c>
      <c r="E277" s="1" t="n">
        <v>46322</v>
      </c>
      <c r="F277" t="inlineStr">
        <is>
          <t>ÖSTERGÖTLANDS LÄN</t>
        </is>
      </c>
      <c r="G277" t="inlineStr">
        <is>
          <t>VALDEMARSVIK</t>
        </is>
      </c>
      <c r="I277" t="n">
        <v>1.1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t="n">
        <v>0</v>
      </c>
      <c r="S277" t="n">
        <v>0</v>
      </c>
      <c r="T277" t="n">
        <v>0</v>
      </c>
      <c r="U277" t="n">
        <v>0</v>
      </c>
      <c r="V277" s="2" t="inlineStr"/>
    </row>
    <row r="278" ht="15" customHeight="1">
      <c r="A278" t="inlineStr">
        <is>
          <t>A 35806-2026</t>
        </is>
      </c>
      <c r="B278" t="inlineStr">
        <is>
          <t>avverkningsanmälan</t>
        </is>
      </c>
      <c r="C278" t="inlineStr">
        <is>
          <t>Föryngringsavverkning</t>
        </is>
      </c>
      <c r="D278" s="1" t="n">
        <v>46265</v>
      </c>
      <c r="E278" s="1" t="n">
        <v>46322</v>
      </c>
      <c r="F278" t="inlineStr">
        <is>
          <t>ÖSTERGÖTLANDS LÄN</t>
        </is>
      </c>
      <c r="G278" t="inlineStr">
        <is>
          <t>VALDEMARSVIK</t>
        </is>
      </c>
      <c r="I278" t="n">
        <v>3.1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t="n">
        <v>0</v>
      </c>
      <c r="S278" t="n">
        <v>0</v>
      </c>
      <c r="T278" t="n">
        <v>0</v>
      </c>
      <c r="U278" t="n">
        <v>0</v>
      </c>
      <c r="V278" s="2" t="inlineStr"/>
    </row>
    <row r="279" ht="15" customHeight="1">
      <c r="A279" t="inlineStr">
        <is>
          <t>A 38060-2026</t>
        </is>
      </c>
      <c r="B279" t="inlineStr">
        <is>
          <t>avverkningsanmälan</t>
        </is>
      </c>
      <c r="C279" t="inlineStr">
        <is>
          <t>Föryngringsavverkning</t>
        </is>
      </c>
      <c r="D279" s="1" t="n">
        <v>46280</v>
      </c>
      <c r="E279" s="1" t="n">
        <v>46322</v>
      </c>
      <c r="F279" t="inlineStr">
        <is>
          <t>ÖSTERGÖTLANDS LÄN</t>
        </is>
      </c>
      <c r="G279" t="inlineStr">
        <is>
          <t>VALDEMARSVIK</t>
        </is>
      </c>
      <c r="I279" t="n">
        <v>1.5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t="n">
        <v>0</v>
      </c>
      <c r="S279" t="n">
        <v>0</v>
      </c>
      <c r="T279" t="n">
        <v>0</v>
      </c>
      <c r="U279" t="n">
        <v>0</v>
      </c>
      <c r="V279" s="2" t="inlineStr"/>
    </row>
    <row r="280" ht="15" customHeight="1">
      <c r="A280" t="inlineStr">
        <is>
          <t>A 4627-2025</t>
        </is>
      </c>
      <c r="B280" t="inlineStr">
        <is>
          <t>avverkningsanmälan</t>
        </is>
      </c>
      <c r="C280" t="inlineStr">
        <is>
          <t>Föryngringsavverkning</t>
        </is>
      </c>
      <c r="D280" s="1" t="n">
        <v>45687</v>
      </c>
      <c r="E280" s="1" t="n">
        <v>46322</v>
      </c>
      <c r="F280" t="inlineStr">
        <is>
          <t>ÖSTERGÖTLANDS LÄN</t>
        </is>
      </c>
      <c r="G280" t="inlineStr">
        <is>
          <t>VALDEMARSVIK</t>
        </is>
      </c>
      <c r="I280" t="n">
        <v>3.1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t="n">
        <v>0</v>
      </c>
      <c r="S280" t="n">
        <v>0</v>
      </c>
      <c r="T280" t="n">
        <v>0</v>
      </c>
      <c r="U280" t="n">
        <v>0</v>
      </c>
      <c r="V280" s="2" t="inlineStr"/>
    </row>
    <row r="281" ht="15" customHeight="1">
      <c r="A281" t="inlineStr">
        <is>
          <t>S 2472-2020</t>
        </is>
      </c>
      <c r="B281" t="inlineStr">
        <is>
          <t>samrådsanmälan</t>
        </is>
      </c>
      <c r="C281" t="inlineStr">
        <is>
          <t>Åtgärd i nyckelbiotop</t>
        </is>
      </c>
      <c r="D281" s="1" t="n">
        <v>44140</v>
      </c>
      <c r="E281" s="1" t="n">
        <v>46322</v>
      </c>
      <c r="F281" t="inlineStr">
        <is>
          <t>ÖSTERGÖTLANDS LÄN</t>
        </is>
      </c>
      <c r="G281" t="inlineStr">
        <is>
          <t>VALDEMARSVIK</t>
        </is>
      </c>
      <c r="I281" t="n">
        <v>0.9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t="n">
        <v>0</v>
      </c>
      <c r="S281" t="n">
        <v>0</v>
      </c>
      <c r="T281" t="n">
        <v>0</v>
      </c>
      <c r="U281" t="n">
        <v>0</v>
      </c>
      <c r="V281" s="2" t="inlineStr"/>
    </row>
    <row r="282" ht="15" customHeight="1">
      <c r="A282" t="inlineStr">
        <is>
          <t>S 1221-2020</t>
        </is>
      </c>
      <c r="B282" t="inlineStr">
        <is>
          <t>samrådsanmälan</t>
        </is>
      </c>
      <c r="C282" t="inlineStr">
        <is>
          <t>Åtgärd i nyckelbiotop</t>
        </is>
      </c>
      <c r="D282" s="1" t="n">
        <v>43951</v>
      </c>
      <c r="E282" s="1" t="n">
        <v>46322</v>
      </c>
      <c r="F282" t="inlineStr">
        <is>
          <t>ÖSTERGÖTLANDS LÄN</t>
        </is>
      </c>
      <c r="G282" t="inlineStr">
        <is>
          <t>VALDEMARSVIK</t>
        </is>
      </c>
      <c r="I282" t="n">
        <v>0.6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t="n">
        <v>0</v>
      </c>
      <c r="S282" t="n">
        <v>0</v>
      </c>
      <c r="T282" t="n">
        <v>0</v>
      </c>
      <c r="U282" t="n">
        <v>0</v>
      </c>
      <c r="V282" s="2" t="inlineStr"/>
    </row>
    <row r="283" ht="15" customHeight="1">
      <c r="A283" t="inlineStr">
        <is>
          <t>S 3578-2022</t>
        </is>
      </c>
      <c r="B283" t="inlineStr">
        <is>
          <t>samrådsanmälan</t>
        </is>
      </c>
      <c r="C283" t="inlineStr">
        <is>
          <t>Annan skogsbruksåtgärd</t>
        </is>
      </c>
      <c r="D283" s="1" t="n">
        <v>44735</v>
      </c>
      <c r="E283" s="1" t="n">
        <v>46322</v>
      </c>
      <c r="F283" t="inlineStr">
        <is>
          <t>ÖSTERGÖTLANDS LÄN</t>
        </is>
      </c>
      <c r="G283" t="inlineStr">
        <is>
          <t>VALDEMARSVIK</t>
        </is>
      </c>
      <c r="I283" t="n">
        <v>0.5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t="n">
        <v>0</v>
      </c>
      <c r="S283" t="n">
        <v>0</v>
      </c>
      <c r="T283" t="n">
        <v>0</v>
      </c>
      <c r="U283" t="n">
        <v>0</v>
      </c>
      <c r="V283" s="2" t="inlineStr"/>
    </row>
    <row r="284" ht="15" customHeight="1">
      <c r="A284" t="inlineStr">
        <is>
          <t>S 70-2024</t>
        </is>
      </c>
      <c r="B284" t="inlineStr">
        <is>
          <t>samrådsanmälan</t>
        </is>
      </c>
      <c r="C284" t="inlineStr">
        <is>
          <t>Annan skogsbruksåtgärd</t>
        </is>
      </c>
      <c r="D284" s="1" t="n">
        <v>45300</v>
      </c>
      <c r="E284" s="1" t="n">
        <v>46322</v>
      </c>
      <c r="F284" t="inlineStr">
        <is>
          <t>ÖSTERGÖTLANDS LÄN</t>
        </is>
      </c>
      <c r="G284" t="inlineStr">
        <is>
          <t>VALDEMARSVIK</t>
        </is>
      </c>
      <c r="I284" t="n">
        <v>5.9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t="n">
        <v>0</v>
      </c>
      <c r="S284" t="n">
        <v>0</v>
      </c>
      <c r="T284" t="n">
        <v>0</v>
      </c>
      <c r="U284" t="n">
        <v>0</v>
      </c>
      <c r="V284" s="2" t="inlineStr"/>
    </row>
    <row r="285" ht="15" customHeight="1">
      <c r="A285" t="inlineStr">
        <is>
          <t>S 536-2025</t>
        </is>
      </c>
      <c r="B285" t="inlineStr">
        <is>
          <t>samrådsanmälan</t>
        </is>
      </c>
      <c r="C285" t="inlineStr">
        <is>
          <t>Åtgärd i nyckelbiotop</t>
        </is>
      </c>
      <c r="D285" s="1" t="n">
        <v>45708</v>
      </c>
      <c r="E285" s="1" t="n">
        <v>46322</v>
      </c>
      <c r="F285" t="inlineStr">
        <is>
          <t>ÖSTERGÖTLANDS LÄN</t>
        </is>
      </c>
      <c r="G285" t="inlineStr">
        <is>
          <t>VALDEMARSVIK</t>
        </is>
      </c>
      <c r="I285" t="n">
        <v>1.9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t="n">
        <v>0</v>
      </c>
      <c r="S285" t="n">
        <v>0</v>
      </c>
      <c r="T285" t="n">
        <v>0</v>
      </c>
      <c r="U285" t="n">
        <v>0</v>
      </c>
      <c r="V285" s="2" t="inlineStr"/>
    </row>
    <row r="286">
      <c r="A286" t="inlineStr">
        <is>
          <t>S 508-2026</t>
        </is>
      </c>
      <c r="B286" t="inlineStr">
        <is>
          <t>samrådsanmälan</t>
        </is>
      </c>
      <c r="C286" t="inlineStr">
        <is>
          <t>Skogsgödsling</t>
        </is>
      </c>
      <c r="D286" s="1" t="n">
        <v>46076</v>
      </c>
      <c r="E286" s="1" t="n">
        <v>46322</v>
      </c>
      <c r="F286" t="inlineStr">
        <is>
          <t>ÖSTERGÖTLANDS LÄN</t>
        </is>
      </c>
      <c r="G286" t="inlineStr">
        <is>
          <t>VALDEMARSVIK</t>
        </is>
      </c>
      <c r="I286" t="n">
        <v>42.4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t="n">
        <v>0</v>
      </c>
      <c r="S286" t="n">
        <v>0</v>
      </c>
      <c r="T286" t="n">
        <v>0</v>
      </c>
      <c r="U286" t="n">
        <v>0</v>
      </c>
      <c r="V28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2026-10-27T03:10:42Z</dcterms:created>
  <dcterms:modified xmlns:dcterms="http://purl.org/dc/terms/" xmlns:xsi="http://www.w3.org/2001/XMLSchema-instance" xsi:type="dcterms:W3CDTF">2026-10-27T03:10:42Z</dcterms:modified>
</cp:coreProperties>
</file>