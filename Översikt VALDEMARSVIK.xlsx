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46321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46321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46321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29305-2026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46202</v>
      </c>
      <c r="E7" s="1" t="n">
        <v>46321</v>
      </c>
      <c r="F7" t="inlineStr">
        <is>
          <t>ÖSTERGÖTLANDS LÄN</t>
        </is>
      </c>
      <c r="G7" t="inlineStr">
        <is>
          <t>VALDEMARSVIK</t>
        </is>
      </c>
      <c r="I7" t="n">
        <v>7.9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Knärot
Krusfrö
Sädesärla
Murgröna
Huggorm</t>
        </is>
      </c>
      <c r="W7">
        <f>HYPERLINK("https://klasma.github.io/Logging_0563/artfynd/A 29305-2026 artfynd.xlsx", "A 29305-2026")</f>
        <v/>
      </c>
      <c r="X7">
        <f>HYPERLINK("https://klasma.github.io/Logging_0563/kartor/A 29305-2026 karta.png", "A 29305-2026")</f>
        <v/>
      </c>
      <c r="Y7">
        <f>HYPERLINK("https://klasma.github.io/Logging_0563/kartor_geotiff/A 29305-2026 georefererad karta.tif", "A 29305-2026")</f>
        <v/>
      </c>
      <c r="Z7">
        <f>HYPERLINK("https://klasma.github.io/Logging_0563/knärot/A 29305-2026 karta knärot.png", "A 29305-2026")</f>
        <v/>
      </c>
      <c r="AA7">
        <f>HYPERLINK("https://klasma.github.io/Logging_0563/klagomål/A 29305-2026 FSC-klagomål.docx", "A 29305-2026")</f>
        <v/>
      </c>
      <c r="AB7">
        <f>HYPERLINK("https://klasma.github.io/Logging_0563/klagomålsmail/A 29305-2026 FSC-klagomål mail.docx", "A 29305-2026")</f>
        <v/>
      </c>
      <c r="AC7">
        <f>HYPERLINK("https://klasma.github.io/Logging_0563/tillsyn/A 29305-2026 tillsynsbegäran.docx", "A 29305-2026")</f>
        <v/>
      </c>
      <c r="AD7">
        <f>HYPERLINK("https://klasma.github.io/Logging_0563/tillsynsmail/A 29305-2026 tillsynsbegäran mail.docx", "A 29305-2026")</f>
        <v/>
      </c>
      <c r="AE7">
        <f>HYPERLINK("https://klasma.github.io/Logging_0563/fåglar/A 29305-2026 prioriterade fågelarter.docx", "A 29305-2026")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46321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46321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46321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34616-2026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46255</v>
      </c>
      <c r="E11" s="1" t="n">
        <v>46321</v>
      </c>
      <c r="F11" t="inlineStr">
        <is>
          <t>ÖSTERGÖTLANDS LÄN</t>
        </is>
      </c>
      <c r="G11" t="inlineStr">
        <is>
          <t>VALDEMARSVIK</t>
        </is>
      </c>
      <c r="I11" t="n">
        <v>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Lateritticka
Talltita
Revlummer</t>
        </is>
      </c>
      <c r="W11">
        <f>HYPERLINK("https://klasma.github.io/Logging_0563/artfynd/A 34616-2026 artfynd.xlsx", "A 34616-2026")</f>
        <v/>
      </c>
      <c r="X11">
        <f>HYPERLINK("https://klasma.github.io/Logging_0563/kartor/A 34616-2026 karta.png", "A 34616-2026")</f>
        <v/>
      </c>
      <c r="Y11">
        <f>HYPERLINK("https://klasma.github.io/Logging_0563/kartor_geotiff/A 34616-2026 georefererad karta.tif", "A 34616-2026")</f>
        <v/>
      </c>
      <c r="AA11">
        <f>HYPERLINK("https://klasma.github.io/Logging_0563/klagomål/A 34616-2026 FSC-klagomål.docx", "A 34616-2026")</f>
        <v/>
      </c>
      <c r="AB11">
        <f>HYPERLINK("https://klasma.github.io/Logging_0563/klagomålsmail/A 34616-2026 FSC-klagomål mail.docx", "A 34616-2026")</f>
        <v/>
      </c>
      <c r="AC11">
        <f>HYPERLINK("https://klasma.github.io/Logging_0563/tillsyn/A 34616-2026 tillsynsbegäran.docx", "A 34616-2026")</f>
        <v/>
      </c>
      <c r="AD11">
        <f>HYPERLINK("https://klasma.github.io/Logging_0563/tillsynsmail/A 34616-2026 tillsynsbegäran mail.docx", "A 34616-2026")</f>
        <v/>
      </c>
      <c r="AE11">
        <f>HYPERLINK("https://klasma.github.io/Logging_0563/fåglar/A 34616-2026 prioriterade fågelarter.docx", "A 34616-2026")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46321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46321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18758-2023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45043</v>
      </c>
      <c r="E15" s="1" t="n">
        <v>46321</v>
      </c>
      <c r="F15" t="inlineStr">
        <is>
          <t>ÖSTERGÖTLANDS LÄN</t>
        </is>
      </c>
      <c r="G15" t="inlineStr">
        <is>
          <t>VALDEMARSVIK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HYPERLINK("https://klasma.github.io/Logging_0563/artfynd/A 18758-2023 artfynd.xlsx", "A 18758-2023")</f>
        <v/>
      </c>
      <c r="X15">
        <f>HYPERLINK("https://klasma.github.io/Logging_0563/kartor/A 18758-2023 karta.png", "A 18758-2023")</f>
        <v/>
      </c>
      <c r="Y15">
        <f>HYPERLINK("https://klasma.github.io/Logging_0563/kartor_geotiff/A 18758-2023 georefererad karta.tif", "A 18758-2023")</f>
        <v/>
      </c>
      <c r="Z15">
        <f>HYPERLINK("https://klasma.github.io/Logging_0563/knärot/A 18758-2023 karta knärot.png", "A 18758-2023")</f>
        <v/>
      </c>
      <c r="AA15">
        <f>HYPERLINK("https://klasma.github.io/Logging_0563/klagomål/A 18758-2023 FSC-klagomål.docx", "A 18758-2023")</f>
        <v/>
      </c>
      <c r="AB15">
        <f>HYPERLINK("https://klasma.github.io/Logging_0563/klagomålsmail/A 18758-2023 FSC-klagomål mail.docx", "A 18758-2023")</f>
        <v/>
      </c>
      <c r="AC15">
        <f>HYPERLINK("https://klasma.github.io/Logging_0563/tillsyn/A 18758-2023 tillsynsbegäran.docx", "A 18758-2023")</f>
        <v/>
      </c>
      <c r="AD15">
        <f>HYPERLINK("https://klasma.github.io/Logging_0563/tillsynsmail/A 18758-2023 tillsynsbegäran mail.docx", "A 18758-2023")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46321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46321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46321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46321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46321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46321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46321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46321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46321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46321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46321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46321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46321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46321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46321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46321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46321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46321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46321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46321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46321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46321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46321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46321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46321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46321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46321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46321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46321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46321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46321</v>
      </c>
      <c r="F48" t="inlineStr">
        <is>
          <t>ÖSTERGÖTLANDS LÄN</t>
        </is>
      </c>
      <c r="G48" t="inlineStr">
        <is>
          <t>VALDEMARSVIK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46321</v>
      </c>
      <c r="F49" t="inlineStr">
        <is>
          <t>ÖSTERGÖTLANDS LÄN</t>
        </is>
      </c>
      <c r="G49" t="inlineStr">
        <is>
          <t>VALDEMARSVIK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44728</v>
      </c>
      <c r="E50" s="1" t="n">
        <v>46321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46321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45344</v>
      </c>
      <c r="E52" s="1" t="n">
        <v>46321</v>
      </c>
      <c r="F52" t="inlineStr">
        <is>
          <t>ÖSTERGÖTLANDS LÄN</t>
        </is>
      </c>
      <c r="G52" t="inlineStr">
        <is>
          <t>VALDEMARSVIK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46321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11.1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46321</v>
      </c>
      <c r="F54" t="inlineStr">
        <is>
          <t>ÖSTERGÖTLANDS LÄN</t>
        </is>
      </c>
      <c r="G54" t="inlineStr">
        <is>
          <t>VALDEMARSVIK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46321</v>
      </c>
      <c r="F55" t="inlineStr">
        <is>
          <t>ÖSTERGÖTLANDS LÄN</t>
        </is>
      </c>
      <c r="G55" t="inlineStr">
        <is>
          <t>VALDEMARSVIK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46321</v>
      </c>
      <c r="F56" t="inlineStr">
        <is>
          <t>ÖSTERGÖTLANDS LÄN</t>
        </is>
      </c>
      <c r="G56" t="inlineStr">
        <is>
          <t>VALDEMARSVIK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46321</v>
      </c>
      <c r="F57" t="inlineStr">
        <is>
          <t>ÖSTERGÖTLANDS LÄN</t>
        </is>
      </c>
      <c r="G57" t="inlineStr">
        <is>
          <t>VALDEMARSVIK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46321</v>
      </c>
      <c r="F58" t="inlineStr">
        <is>
          <t>ÖSTERGÖTLANDS LÄN</t>
        </is>
      </c>
      <c r="G58" t="inlineStr">
        <is>
          <t>VALDEMARSVIK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46321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44652</v>
      </c>
      <c r="E60" s="1" t="n">
        <v>46321</v>
      </c>
      <c r="F60" t="inlineStr">
        <is>
          <t>ÖSTERGÖTLANDS LÄN</t>
        </is>
      </c>
      <c r="G60" t="inlineStr">
        <is>
          <t>VALDEMARSVIK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46321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Holmen skog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46321</v>
      </c>
      <c r="F62" t="inlineStr">
        <is>
          <t>ÖSTERGÖTLANDS LÄN</t>
        </is>
      </c>
      <c r="G62" t="inlineStr">
        <is>
          <t>VALDEMARSVIK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21397-2023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46321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46321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46321</v>
      </c>
      <c r="F65" t="inlineStr">
        <is>
          <t>ÖSTERGÖTLANDS LÄN</t>
        </is>
      </c>
      <c r="G65" t="inlineStr">
        <is>
          <t>VALDEMARSVIK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46321</v>
      </c>
      <c r="F66" t="inlineStr">
        <is>
          <t>ÖSTERGÖTLANDS LÄN</t>
        </is>
      </c>
      <c r="G66" t="inlineStr">
        <is>
          <t>VALDEMARSVIK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46321</v>
      </c>
      <c r="F67" t="inlineStr">
        <is>
          <t>ÖSTERGÖTLANDS LÄN</t>
        </is>
      </c>
      <c r="G67" t="inlineStr">
        <is>
          <t>VALDEMARSVIK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46170</v>
      </c>
      <c r="E68" s="1" t="n">
        <v>46321</v>
      </c>
      <c r="F68" t="inlineStr">
        <is>
          <t>ÖSTERGÖTLANDS LÄN</t>
        </is>
      </c>
      <c r="G68" t="inlineStr">
        <is>
          <t>VALDEMARSVIK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46321</v>
      </c>
      <c r="F69" t="inlineStr">
        <is>
          <t>ÖSTERGÖTLANDS LÄN</t>
        </is>
      </c>
      <c r="G69" t="inlineStr">
        <is>
          <t>VALDEMARSVIK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45258</v>
      </c>
      <c r="E70" s="1" t="n">
        <v>46321</v>
      </c>
      <c r="F70" t="inlineStr">
        <is>
          <t>ÖSTERGÖTLANDS LÄN</t>
        </is>
      </c>
      <c r="G70" t="inlineStr">
        <is>
          <t>VALDEMARSVIK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46321</v>
      </c>
      <c r="F71" t="inlineStr">
        <is>
          <t>ÖSTERGÖTLANDS LÄN</t>
        </is>
      </c>
      <c r="G71" t="inlineStr">
        <is>
          <t>VALDEMARSVIK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46321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46321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45404</v>
      </c>
      <c r="E74" s="1" t="n">
        <v>46321</v>
      </c>
      <c r="F74" t="inlineStr">
        <is>
          <t>ÖSTERGÖTLANDS LÄN</t>
        </is>
      </c>
      <c r="G74" t="inlineStr">
        <is>
          <t>VALDEMARSVIK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46321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46321</v>
      </c>
      <c r="F76" t="inlineStr">
        <is>
          <t>ÖSTERGÖTLANDS LÄN</t>
        </is>
      </c>
      <c r="G76" t="inlineStr">
        <is>
          <t>VALDEMARSVIK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44980</v>
      </c>
      <c r="E77" s="1" t="n">
        <v>46321</v>
      </c>
      <c r="F77" t="inlineStr">
        <is>
          <t>ÖSTERGÖTLANDS LÄN</t>
        </is>
      </c>
      <c r="G77" t="inlineStr">
        <is>
          <t>VALDEMARSVIK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46321</v>
      </c>
      <c r="F78" t="inlineStr">
        <is>
          <t>ÖSTERGÖTLANDS LÄN</t>
        </is>
      </c>
      <c r="G78" t="inlineStr">
        <is>
          <t>VALDEMARSVIK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46321</v>
      </c>
      <c r="F79" t="inlineStr">
        <is>
          <t>ÖSTERGÖTLANDS LÄN</t>
        </is>
      </c>
      <c r="G79" t="inlineStr">
        <is>
          <t>VALDEMARSVIK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46321</v>
      </c>
      <c r="F80" t="inlineStr">
        <is>
          <t>ÖSTERGÖTLANDS LÄN</t>
        </is>
      </c>
      <c r="G80" t="inlineStr">
        <is>
          <t>VALDEMARSVIK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46321</v>
      </c>
      <c r="F81" t="inlineStr">
        <is>
          <t>ÖSTERGÖTLANDS LÄN</t>
        </is>
      </c>
      <c r="G81" t="inlineStr">
        <is>
          <t>VALDEMARSVIK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46321</v>
      </c>
      <c r="F82" t="inlineStr">
        <is>
          <t>ÖSTERGÖTLANDS LÄN</t>
        </is>
      </c>
      <c r="G82" t="inlineStr">
        <is>
          <t>VALDEMARSVIK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46321</v>
      </c>
      <c r="F83" t="inlineStr">
        <is>
          <t>ÖSTERGÖTLANDS LÄN</t>
        </is>
      </c>
      <c r="G83" t="inlineStr">
        <is>
          <t>VALDEMARSVIK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46321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45287</v>
      </c>
      <c r="E85" s="1" t="n">
        <v>46321</v>
      </c>
      <c r="F85" t="inlineStr">
        <is>
          <t>ÖSTERGÖTLANDS LÄN</t>
        </is>
      </c>
      <c r="G85" t="inlineStr">
        <is>
          <t>VALDEMARSVIK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44749</v>
      </c>
      <c r="E86" s="1" t="n">
        <v>46321</v>
      </c>
      <c r="F86" t="inlineStr">
        <is>
          <t>ÖSTERGÖTLANDS LÄN</t>
        </is>
      </c>
      <c r="G86" t="inlineStr">
        <is>
          <t>VALDEMARSVIK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46321</v>
      </c>
      <c r="F87" t="inlineStr">
        <is>
          <t>ÖSTERGÖTLANDS LÄN</t>
        </is>
      </c>
      <c r="G87" t="inlineStr">
        <is>
          <t>VALDEMARSVIK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46321</v>
      </c>
      <c r="F88" t="inlineStr">
        <is>
          <t>ÖSTERGÖTLANDS LÄN</t>
        </is>
      </c>
      <c r="G88" t="inlineStr">
        <is>
          <t>VALDEMARSVIK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46321</v>
      </c>
      <c r="F89" t="inlineStr">
        <is>
          <t>ÖSTERGÖTLANDS LÄN</t>
        </is>
      </c>
      <c r="G89" t="inlineStr">
        <is>
          <t>VALDEMARSVIK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46321</v>
      </c>
      <c r="F90" t="inlineStr">
        <is>
          <t>ÖSTERGÖTLANDS LÄN</t>
        </is>
      </c>
      <c r="G90" t="inlineStr">
        <is>
          <t>VALDEMARSVIK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46321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46321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Kommuner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46321</v>
      </c>
      <c r="F93" t="inlineStr">
        <is>
          <t>ÖSTERGÖTLANDS LÄN</t>
        </is>
      </c>
      <c r="G93" t="inlineStr">
        <is>
          <t>VALDEMARSVIK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46321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44690</v>
      </c>
      <c r="E95" s="1" t="n">
        <v>46321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46321</v>
      </c>
      <c r="F96" t="inlineStr">
        <is>
          <t>ÖSTERGÖTLANDS LÄN</t>
        </is>
      </c>
      <c r="G96" t="inlineStr">
        <is>
          <t>VALDEMARSVIK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46321</v>
      </c>
      <c r="F97" t="inlineStr">
        <is>
          <t>ÖSTERGÖTLANDS LÄN</t>
        </is>
      </c>
      <c r="G97" t="inlineStr">
        <is>
          <t>VALDEMARSVIK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46321</v>
      </c>
      <c r="F98" t="inlineStr">
        <is>
          <t>ÖSTERGÖTLANDS LÄN</t>
        </is>
      </c>
      <c r="G98" t="inlineStr">
        <is>
          <t>VALDEMARSVIK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44965</v>
      </c>
      <c r="E99" s="1" t="n">
        <v>46321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44896</v>
      </c>
      <c r="E100" s="1" t="n">
        <v>46321</v>
      </c>
      <c r="F100" t="inlineStr">
        <is>
          <t>ÖSTERGÖTLANDS LÄN</t>
        </is>
      </c>
      <c r="G100" t="inlineStr">
        <is>
          <t>VALDEMARSVIK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46321</v>
      </c>
      <c r="F101" t="inlineStr">
        <is>
          <t>ÖSTERGÖTLANDS LÄN</t>
        </is>
      </c>
      <c r="G101" t="inlineStr">
        <is>
          <t>VALDEMARSVIK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46321</v>
      </c>
      <c r="F102" t="inlineStr">
        <is>
          <t>ÖSTERGÖTLANDS LÄN</t>
        </is>
      </c>
      <c r="G102" t="inlineStr">
        <is>
          <t>VALDEMARSVIK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46321</v>
      </c>
      <c r="F103" t="inlineStr">
        <is>
          <t>ÖSTERGÖTLANDS LÄN</t>
        </is>
      </c>
      <c r="G103" t="inlineStr">
        <is>
          <t>VALDEMARSVIK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46321</v>
      </c>
      <c r="F104" t="inlineStr">
        <is>
          <t>ÖSTERGÖTLANDS LÄN</t>
        </is>
      </c>
      <c r="G104" t="inlineStr">
        <is>
          <t>VALDEMARSVIK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46321</v>
      </c>
      <c r="F105" t="inlineStr">
        <is>
          <t>ÖSTERGÖTLANDS LÄN</t>
        </is>
      </c>
      <c r="G105" t="inlineStr">
        <is>
          <t>VALDEMARSVIK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46321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45565</v>
      </c>
      <c r="E107" s="1" t="n">
        <v>46321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45989</v>
      </c>
      <c r="E108" s="1" t="n">
        <v>46321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Holmen skog AB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30964-2026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46213</v>
      </c>
      <c r="E109" s="1" t="n">
        <v>46321</v>
      </c>
      <c r="F109" t="inlineStr">
        <is>
          <t>ÖSTERGÖTLANDS LÄN</t>
        </is>
      </c>
      <c r="G109" t="inlineStr">
        <is>
          <t>VALDEMARSVIK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46321</v>
      </c>
      <c r="F110" t="inlineStr">
        <is>
          <t>ÖSTERGÖTLANDS LÄN</t>
        </is>
      </c>
      <c r="G110" t="inlineStr">
        <is>
          <t>VALDEMARSVIK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46321</v>
      </c>
      <c r="F111" t="inlineStr">
        <is>
          <t>ÖSTERGÖTLANDS LÄN</t>
        </is>
      </c>
      <c r="G111" t="inlineStr">
        <is>
          <t>VALDEMARSVIK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46321</v>
      </c>
      <c r="F112" t="inlineStr">
        <is>
          <t>ÖSTERGÖTLANDS LÄN</t>
        </is>
      </c>
      <c r="G112" t="inlineStr">
        <is>
          <t>VALDEMARSVIK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45404</v>
      </c>
      <c r="E113" s="1" t="n">
        <v>46321</v>
      </c>
      <c r="F113" t="inlineStr">
        <is>
          <t>ÖSTERGÖTLANDS LÄN</t>
        </is>
      </c>
      <c r="G113" t="inlineStr">
        <is>
          <t>VALDEMARSVIK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46321</v>
      </c>
      <c r="F114" t="inlineStr">
        <is>
          <t>ÖSTERGÖTLANDS LÄN</t>
        </is>
      </c>
      <c r="G114" t="inlineStr">
        <is>
          <t>VALDEMARSVIK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46321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45999</v>
      </c>
      <c r="E116" s="1" t="n">
        <v>46321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Holmen skog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46321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46321</v>
      </c>
      <c r="F118" t="inlineStr">
        <is>
          <t>ÖSTERGÖTLANDS LÄN</t>
        </is>
      </c>
      <c r="G118" t="inlineStr">
        <is>
          <t>VALDEMARSVIK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46321</v>
      </c>
      <c r="F119" t="inlineStr">
        <is>
          <t>ÖSTERGÖTLANDS LÄN</t>
        </is>
      </c>
      <c r="G119" t="inlineStr">
        <is>
          <t>VALDEMARSVIK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44833</v>
      </c>
      <c r="E120" s="1" t="n">
        <v>46321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46321</v>
      </c>
      <c r="F121" t="inlineStr">
        <is>
          <t>ÖSTERGÖTLANDS LÄN</t>
        </is>
      </c>
      <c r="G121" t="inlineStr">
        <is>
          <t>VALDEMARSVIK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46321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46019</v>
      </c>
      <c r="E123" s="1" t="n">
        <v>46321</v>
      </c>
      <c r="F123" t="inlineStr">
        <is>
          <t>ÖSTERGÖTLANDS LÄN</t>
        </is>
      </c>
      <c r="G123" t="inlineStr">
        <is>
          <t>VALDEMARSVIK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46321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46321</v>
      </c>
      <c r="F125" t="inlineStr">
        <is>
          <t>ÖSTERGÖTLANDS LÄN</t>
        </is>
      </c>
      <c r="G125" t="inlineStr">
        <is>
          <t>VALDEMARSVIK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46321</v>
      </c>
      <c r="F126" t="inlineStr">
        <is>
          <t>ÖSTERGÖTLANDS LÄN</t>
        </is>
      </c>
      <c r="G126" t="inlineStr">
        <is>
          <t>VALDEMARSVIK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46321</v>
      </c>
      <c r="F127" t="inlineStr">
        <is>
          <t>ÖSTERGÖTLANDS LÄN</t>
        </is>
      </c>
      <c r="G127" t="inlineStr">
        <is>
          <t>VALDEMARSVIK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46321</v>
      </c>
      <c r="F128" t="inlineStr">
        <is>
          <t>ÖSTERGÖTLANDS LÄN</t>
        </is>
      </c>
      <c r="G128" t="inlineStr">
        <is>
          <t>VALDEMARSVIK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46321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46321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46321</v>
      </c>
      <c r="F131" t="inlineStr">
        <is>
          <t>ÖSTERGÖTLANDS LÄN</t>
        </is>
      </c>
      <c r="G131" t="inlineStr">
        <is>
          <t>VALDEMARSVIK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46245</v>
      </c>
      <c r="E132" s="1" t="n">
        <v>46321</v>
      </c>
      <c r="F132" t="inlineStr">
        <is>
          <t>ÖSTERGÖTLANDS LÄN</t>
        </is>
      </c>
      <c r="G132" t="inlineStr">
        <is>
          <t>VALDEMARSVIK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46245</v>
      </c>
      <c r="E133" s="1" t="n">
        <v>46321</v>
      </c>
      <c r="F133" t="inlineStr">
        <is>
          <t>ÖSTERGÖTLANDS LÄN</t>
        </is>
      </c>
      <c r="G133" t="inlineStr">
        <is>
          <t>VALDEMARSVIK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46321</v>
      </c>
      <c r="F134" t="inlineStr">
        <is>
          <t>ÖSTERGÖTLANDS LÄN</t>
        </is>
      </c>
      <c r="G134" t="inlineStr">
        <is>
          <t>VALDEMARSVIK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46321</v>
      </c>
      <c r="F135" t="inlineStr">
        <is>
          <t>ÖSTERGÖTLANDS LÄN</t>
        </is>
      </c>
      <c r="G135" t="inlineStr">
        <is>
          <t>VALDEMARSVIK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46321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46321</v>
      </c>
      <c r="F137" t="inlineStr">
        <is>
          <t>ÖSTERGÖTLANDS LÄN</t>
        </is>
      </c>
      <c r="G137" t="inlineStr">
        <is>
          <t>VALDEMARSVIK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46321</v>
      </c>
      <c r="F138" t="inlineStr">
        <is>
          <t>ÖSTERGÖTLANDS LÄN</t>
        </is>
      </c>
      <c r="G138" t="inlineStr">
        <is>
          <t>VALDEMARSVIK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46321</v>
      </c>
      <c r="F139" t="inlineStr">
        <is>
          <t>ÖSTERGÖTLANDS LÄN</t>
        </is>
      </c>
      <c r="G139" t="inlineStr">
        <is>
          <t>VALDEMARSVIK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46321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46066</v>
      </c>
      <c r="E141" s="1" t="n">
        <v>46321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46321</v>
      </c>
      <c r="F142" t="inlineStr">
        <is>
          <t>ÖSTERGÖTLANDS LÄN</t>
        </is>
      </c>
      <c r="G142" t="inlineStr">
        <is>
          <t>VALDEMARSVIK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46321</v>
      </c>
      <c r="F143" t="inlineStr">
        <is>
          <t>ÖSTERGÖTLANDS LÄN</t>
        </is>
      </c>
      <c r="G143" t="inlineStr">
        <is>
          <t>VALDEMARSVIK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46321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46077</v>
      </c>
      <c r="E145" s="1" t="n">
        <v>46321</v>
      </c>
      <c r="F145" t="inlineStr">
        <is>
          <t>ÖSTERGÖTLANDS LÄN</t>
        </is>
      </c>
      <c r="G145" t="inlineStr">
        <is>
          <t>VALDEMARSVIK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46321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Övriga Aktiebolag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46255</v>
      </c>
      <c r="E147" s="1" t="n">
        <v>46321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46255</v>
      </c>
      <c r="E148" s="1" t="n">
        <v>46321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46321</v>
      </c>
      <c r="F149" t="inlineStr">
        <is>
          <t>ÖSTERGÖTLANDS LÄN</t>
        </is>
      </c>
      <c r="G149" t="inlineStr">
        <is>
          <t>VALDEMARSVIK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46245</v>
      </c>
      <c r="E150" s="1" t="n">
        <v>46321</v>
      </c>
      <c r="F150" t="inlineStr">
        <is>
          <t>ÖSTERGÖTLANDS LÄN</t>
        </is>
      </c>
      <c r="G150" t="inlineStr">
        <is>
          <t>VALDEMARSVIK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46321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46321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46321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46321</v>
      </c>
      <c r="F154" t="inlineStr">
        <is>
          <t>ÖSTERGÖTLANDS LÄN</t>
        </is>
      </c>
      <c r="G154" t="inlineStr">
        <is>
          <t>VALDEMARSVIK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46321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46321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22974-2025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45790</v>
      </c>
      <c r="E157" s="1" t="n">
        <v>46321</v>
      </c>
      <c r="F157" t="inlineStr">
        <is>
          <t>ÖSTERGÖTLANDS LÄN</t>
        </is>
      </c>
      <c r="G157" t="inlineStr">
        <is>
          <t>VALDEMARSVIK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46304</v>
      </c>
      <c r="E158" s="1" t="n">
        <v>46321</v>
      </c>
      <c r="F158" t="inlineStr">
        <is>
          <t>ÖSTERGÖTLANDS LÄN</t>
        </is>
      </c>
      <c r="G158" t="inlineStr">
        <is>
          <t>VALDEMARSVIK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46304</v>
      </c>
      <c r="E159" s="1" t="n">
        <v>46321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46321</v>
      </c>
      <c r="F160" t="inlineStr">
        <is>
          <t>ÖSTERGÖTLANDS LÄN</t>
        </is>
      </c>
      <c r="G160" t="inlineStr">
        <is>
          <t>VALDEMARSVIK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46321</v>
      </c>
      <c r="F161" t="inlineStr">
        <is>
          <t>ÖSTERGÖTLANDS LÄN</t>
        </is>
      </c>
      <c r="G161" t="inlineStr">
        <is>
          <t>VALDEMARSVIK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46321</v>
      </c>
      <c r="F162" t="inlineStr">
        <is>
          <t>ÖSTERGÖTLANDS LÄN</t>
        </is>
      </c>
      <c r="G162" t="inlineStr">
        <is>
          <t>VALDEMARSVIK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46321</v>
      </c>
      <c r="F163" t="inlineStr">
        <is>
          <t>ÖSTERGÖTLANDS LÄN</t>
        </is>
      </c>
      <c r="G163" t="inlineStr">
        <is>
          <t>VALDEMARSVIK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46308</v>
      </c>
      <c r="E164" s="1" t="n">
        <v>46321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46308</v>
      </c>
      <c r="E165" s="1" t="n">
        <v>46321</v>
      </c>
      <c r="F165" t="inlineStr">
        <is>
          <t>ÖSTERGÖTLANDS LÄN</t>
        </is>
      </c>
      <c r="G165" t="inlineStr">
        <is>
          <t>VALDEMARSVIK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46308</v>
      </c>
      <c r="E166" s="1" t="n">
        <v>46321</v>
      </c>
      <c r="F166" t="inlineStr">
        <is>
          <t>ÖSTERGÖTLANDS LÄN</t>
        </is>
      </c>
      <c r="G166" t="inlineStr">
        <is>
          <t>VALDEMARSVIK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44899</v>
      </c>
      <c r="E167" s="1" t="n">
        <v>46321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46321</v>
      </c>
      <c r="F168" t="inlineStr">
        <is>
          <t>ÖSTERGÖTLANDS LÄN</t>
        </is>
      </c>
      <c r="G168" t="inlineStr">
        <is>
          <t>VALDEMARSVIK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44592</v>
      </c>
      <c r="E169" s="1" t="n">
        <v>46321</v>
      </c>
      <c r="F169" t="inlineStr">
        <is>
          <t>ÖSTERGÖTLANDS LÄN</t>
        </is>
      </c>
      <c r="G169" t="inlineStr">
        <is>
          <t>VALDEMARSVIK</t>
        </is>
      </c>
      <c r="I169" t="n">
        <v>11.6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46321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46307</v>
      </c>
      <c r="E171" s="1" t="n">
        <v>46321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46308</v>
      </c>
      <c r="E172" s="1" t="n">
        <v>46321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46308</v>
      </c>
      <c r="E173" s="1" t="n">
        <v>46321</v>
      </c>
      <c r="F173" t="inlineStr">
        <is>
          <t>ÖSTERGÖTLANDS LÄN</t>
        </is>
      </c>
      <c r="G173" t="inlineStr">
        <is>
          <t>VALDEMARSVIK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46308</v>
      </c>
      <c r="E174" s="1" t="n">
        <v>46321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46321</v>
      </c>
      <c r="F175" t="inlineStr">
        <is>
          <t>ÖSTERGÖTLANDS LÄN</t>
        </is>
      </c>
      <c r="G175" t="inlineStr">
        <is>
          <t>VALDEMARSVIK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45782</v>
      </c>
      <c r="E176" s="1" t="n">
        <v>46321</v>
      </c>
      <c r="F176" t="inlineStr">
        <is>
          <t>ÖSTERGÖTLANDS LÄN</t>
        </is>
      </c>
      <c r="G176" t="inlineStr">
        <is>
          <t>VALDEMARSVIK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46321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42288-2026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46307</v>
      </c>
      <c r="E178" s="1" t="n">
        <v>46321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46321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46321</v>
      </c>
      <c r="F180" t="inlineStr">
        <is>
          <t>ÖSTERGÖTLANDS LÄN</t>
        </is>
      </c>
      <c r="G180" t="inlineStr">
        <is>
          <t>VALDEMARSVIK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44616</v>
      </c>
      <c r="E181" s="1" t="n">
        <v>46321</v>
      </c>
      <c r="F181" t="inlineStr">
        <is>
          <t>ÖSTERGÖTLANDS LÄN</t>
        </is>
      </c>
      <c r="G181" t="inlineStr">
        <is>
          <t>VALDEMARSVIK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46309</v>
      </c>
      <c r="E182" s="1" t="n">
        <v>46321</v>
      </c>
      <c r="F182" t="inlineStr">
        <is>
          <t>ÖSTERGÖTLANDS LÄN</t>
        </is>
      </c>
      <c r="G182" t="inlineStr">
        <is>
          <t>VALDEMARSVIK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21511-2025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45782</v>
      </c>
      <c r="E183" s="1" t="n">
        <v>46321</v>
      </c>
      <c r="F183" t="inlineStr">
        <is>
          <t>ÖSTERGÖTLANDS LÄN</t>
        </is>
      </c>
      <c r="G183" t="inlineStr">
        <is>
          <t>VALDEMARSVIK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46321</v>
      </c>
      <c r="F184" t="inlineStr">
        <is>
          <t>ÖSTERGÖTLANDS LÄN</t>
        </is>
      </c>
      <c r="G184" t="inlineStr">
        <is>
          <t>VALDEMARSVIK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46321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46321</v>
      </c>
      <c r="F186" t="inlineStr">
        <is>
          <t>ÖSTERGÖTLANDS LÄN</t>
        </is>
      </c>
      <c r="G186" t="inlineStr">
        <is>
          <t>VALDEMARSVIK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34357-2023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46321</v>
      </c>
      <c r="F187" t="inlineStr">
        <is>
          <t>ÖSTERGÖTLANDS LÄN</t>
        </is>
      </c>
      <c r="G187" t="inlineStr">
        <is>
          <t>VALDEMARSVIK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46321</v>
      </c>
      <c r="F188" t="inlineStr">
        <is>
          <t>ÖSTERGÖTLANDS LÄN</t>
        </is>
      </c>
      <c r="G188" t="inlineStr">
        <is>
          <t>VALDEMARSVIK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46269</v>
      </c>
      <c r="E189" s="1" t="n">
        <v>46321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46321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45009</v>
      </c>
      <c r="E191" s="1" t="n">
        <v>46321</v>
      </c>
      <c r="F191" t="inlineStr">
        <is>
          <t>ÖSTERGÖTLANDS LÄN</t>
        </is>
      </c>
      <c r="G191" t="inlineStr">
        <is>
          <t>VALDEMARSVIK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46321</v>
      </c>
      <c r="F192" t="inlineStr">
        <is>
          <t>ÖSTERGÖTLANDS LÄN</t>
        </is>
      </c>
      <c r="G192" t="inlineStr">
        <is>
          <t>VALDEMARSVIK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46321</v>
      </c>
      <c r="F193" t="inlineStr">
        <is>
          <t>ÖSTERGÖTLANDS LÄN</t>
        </is>
      </c>
      <c r="G193" t="inlineStr">
        <is>
          <t>VALDEMARSVIK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46321</v>
      </c>
      <c r="F194" t="inlineStr">
        <is>
          <t>ÖSTERGÖTLANDS LÄN</t>
        </is>
      </c>
      <c r="G194" t="inlineStr">
        <is>
          <t>VALDEMARSVIK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45783-2023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45195</v>
      </c>
      <c r="E195" s="1" t="n">
        <v>46321</v>
      </c>
      <c r="F195" t="inlineStr">
        <is>
          <t>ÖSTERGÖTLANDS LÄN</t>
        </is>
      </c>
      <c r="G195" t="inlineStr">
        <is>
          <t>VALDEMARSVIK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46321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46321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46321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46321</v>
      </c>
      <c r="F199" t="inlineStr">
        <is>
          <t>ÖSTERGÖTLANDS LÄN</t>
        </is>
      </c>
      <c r="G199" t="inlineStr">
        <is>
          <t>VALDEMARSVIK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46147</v>
      </c>
      <c r="E200" s="1" t="n">
        <v>46321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46321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46321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44777</v>
      </c>
      <c r="E203" s="1" t="n">
        <v>46321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46321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46321</v>
      </c>
      <c r="F205" t="inlineStr">
        <is>
          <t>ÖSTERGÖTLANDS LÄN</t>
        </is>
      </c>
      <c r="G205" t="inlineStr">
        <is>
          <t>VALDEMARSVIK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46321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46321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46321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46321</v>
      </c>
      <c r="F209" t="inlineStr">
        <is>
          <t>ÖSTERGÖTLANDS LÄN</t>
        </is>
      </c>
      <c r="G209" t="inlineStr">
        <is>
          <t>VALDEMARSVIK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46321</v>
      </c>
      <c r="F210" t="inlineStr">
        <is>
          <t>ÖSTERGÖTLANDS LÄN</t>
        </is>
      </c>
      <c r="G210" t="inlineStr">
        <is>
          <t>VALDEMARSVIK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46321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46321</v>
      </c>
      <c r="F212" t="inlineStr">
        <is>
          <t>ÖSTERGÖTLANDS LÄN</t>
        </is>
      </c>
      <c r="G212" t="inlineStr">
        <is>
          <t>VALDEMARSVIK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66424-2021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46321</v>
      </c>
      <c r="F213" t="inlineStr">
        <is>
          <t>ÖSTERGÖTLANDS LÄN</t>
        </is>
      </c>
      <c r="G213" t="inlineStr">
        <is>
          <t>VALDEMARSVIK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46321</v>
      </c>
      <c r="F214" t="inlineStr">
        <is>
          <t>ÖSTERGÖTLANDS LÄN</t>
        </is>
      </c>
      <c r="G214" t="inlineStr">
        <is>
          <t>VALDEMARSVIK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46321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23827-2022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46321</v>
      </c>
      <c r="F216" t="inlineStr">
        <is>
          <t>ÖSTERGÖTLANDS LÄN</t>
        </is>
      </c>
      <c r="G216" t="inlineStr">
        <is>
          <t>VALDEMARSVIK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45685</v>
      </c>
      <c r="E217" s="1" t="n">
        <v>46321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46321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45158</v>
      </c>
      <c r="E219" s="1" t="n">
        <v>46321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46321</v>
      </c>
      <c r="F220" t="inlineStr">
        <is>
          <t>ÖSTERGÖTLANDS LÄN</t>
        </is>
      </c>
      <c r="G220" t="inlineStr">
        <is>
          <t>VALDEMARSVIK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46321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46321</v>
      </c>
      <c r="F222" t="inlineStr">
        <is>
          <t>ÖSTERGÖTLANDS LÄN</t>
        </is>
      </c>
      <c r="G222" t="inlineStr">
        <is>
          <t>VALDEMARSVIK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46321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46321</v>
      </c>
      <c r="F224" t="inlineStr">
        <is>
          <t>ÖSTERGÖTLANDS LÄN</t>
        </is>
      </c>
      <c r="G224" t="inlineStr">
        <is>
          <t>VALDEMARSVIK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46321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54812-2022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44883</v>
      </c>
      <c r="E226" s="1" t="n">
        <v>46321</v>
      </c>
      <c r="F226" t="inlineStr">
        <is>
          <t>ÖSTERGÖTLANDS LÄN</t>
        </is>
      </c>
      <c r="G226" t="inlineStr">
        <is>
          <t>VALDEMARSVIK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46321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46321</v>
      </c>
      <c r="F228" t="inlineStr">
        <is>
          <t>ÖSTERGÖTLANDS LÄN</t>
        </is>
      </c>
      <c r="G228" t="inlineStr">
        <is>
          <t>VALDEMARSVIK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44585</v>
      </c>
      <c r="E229" s="1" t="n">
        <v>46321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46321</v>
      </c>
      <c r="F230" t="inlineStr">
        <is>
          <t>ÖSTERGÖTLANDS LÄN</t>
        </is>
      </c>
      <c r="G230" t="inlineStr">
        <is>
          <t>VALDEMARSVIK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46321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46321</v>
      </c>
      <c r="F232" t="inlineStr">
        <is>
          <t>ÖSTERGÖTLANDS LÄN</t>
        </is>
      </c>
      <c r="G232" t="inlineStr">
        <is>
          <t>VALDEMARSVIK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46321</v>
      </c>
      <c r="F233" t="inlineStr">
        <is>
          <t>ÖSTERGÖTLANDS LÄN</t>
        </is>
      </c>
      <c r="G233" t="inlineStr">
        <is>
          <t>VALDEMARSVIK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46321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46321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44607</v>
      </c>
      <c r="E236" s="1" t="n">
        <v>46321</v>
      </c>
      <c r="F236" t="inlineStr">
        <is>
          <t>ÖSTERGÖTLANDS LÄN</t>
        </is>
      </c>
      <c r="G236" t="inlineStr">
        <is>
          <t>VALDEMARSVIK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45354</v>
      </c>
      <c r="E237" s="1" t="n">
        <v>46321</v>
      </c>
      <c r="F237" t="inlineStr">
        <is>
          <t>ÖSTERGÖTLANDS LÄN</t>
        </is>
      </c>
      <c r="G237" t="inlineStr">
        <is>
          <t>VALDEMARSVIK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46321</v>
      </c>
      <c r="F238" t="inlineStr">
        <is>
          <t>ÖSTERGÖTLANDS LÄN</t>
        </is>
      </c>
      <c r="G238" t="inlineStr">
        <is>
          <t>VALDEMARSVIK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46321</v>
      </c>
      <c r="F239" t="inlineStr">
        <is>
          <t>ÖSTERGÖTLANDS LÄN</t>
        </is>
      </c>
      <c r="G239" t="inlineStr">
        <is>
          <t>VALDEMARSVIK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45481</v>
      </c>
      <c r="E240" s="1" t="n">
        <v>46321</v>
      </c>
      <c r="F240" t="inlineStr">
        <is>
          <t>ÖSTERGÖTLANDS LÄN</t>
        </is>
      </c>
      <c r="G240" t="inlineStr">
        <is>
          <t>VALDEMARSVIK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46321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46321</v>
      </c>
      <c r="F242" t="inlineStr">
        <is>
          <t>ÖSTERGÖTLANDS LÄN</t>
        </is>
      </c>
      <c r="G242" t="inlineStr">
        <is>
          <t>VALDEMARSVIK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44937</v>
      </c>
      <c r="E243" s="1" t="n">
        <v>46321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45176</v>
      </c>
      <c r="E244" s="1" t="n">
        <v>46321</v>
      </c>
      <c r="F244" t="inlineStr">
        <is>
          <t>ÖSTERGÖTLANDS LÄN</t>
        </is>
      </c>
      <c r="G244" t="inlineStr">
        <is>
          <t>VALDEMARSVIK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45433</v>
      </c>
      <c r="E245" s="1" t="n">
        <v>46321</v>
      </c>
      <c r="F245" t="inlineStr">
        <is>
          <t>ÖSTERGÖTLANDS LÄN</t>
        </is>
      </c>
      <c r="G245" t="inlineStr">
        <is>
          <t>VALDEMARSVIK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46321</v>
      </c>
      <c r="F246" t="inlineStr">
        <is>
          <t>ÖSTERGÖTLANDS LÄN</t>
        </is>
      </c>
      <c r="G246" t="inlineStr">
        <is>
          <t>VALDEMARSVIK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46321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46321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46321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46321</v>
      </c>
      <c r="F250" t="inlineStr">
        <is>
          <t>ÖSTERGÖTLANDS LÄN</t>
        </is>
      </c>
      <c r="G250" t="inlineStr">
        <is>
          <t>VALDEMARSVIK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46321</v>
      </c>
      <c r="F251" t="inlineStr">
        <is>
          <t>ÖSTERGÖTLANDS LÄN</t>
        </is>
      </c>
      <c r="G251" t="inlineStr">
        <is>
          <t>VALDEMARSVIK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46321</v>
      </c>
      <c r="F252" t="inlineStr">
        <is>
          <t>ÖSTERGÖTLANDS LÄN</t>
        </is>
      </c>
      <c r="G252" t="inlineStr">
        <is>
          <t>VALDEMARSVIK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46321</v>
      </c>
      <c r="F253" t="inlineStr">
        <is>
          <t>ÖSTERGÖTLANDS LÄN</t>
        </is>
      </c>
      <c r="G253" t="inlineStr">
        <is>
          <t>VALDEMARSVIK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46321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46321</v>
      </c>
      <c r="F255" t="inlineStr">
        <is>
          <t>ÖSTERGÖTLANDS LÄN</t>
        </is>
      </c>
      <c r="G255" t="inlineStr">
        <is>
          <t>VALDEMARSVIK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46321</v>
      </c>
      <c r="F256" t="inlineStr">
        <is>
          <t>ÖSTERGÖTLANDS LÄN</t>
        </is>
      </c>
      <c r="G256" t="inlineStr">
        <is>
          <t>VALDEMARSVIK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46321</v>
      </c>
      <c r="F257" t="inlineStr">
        <is>
          <t>ÖSTERGÖTLANDS LÄN</t>
        </is>
      </c>
      <c r="G257" t="inlineStr">
        <is>
          <t>VALDEMARSVIK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46321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46321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46321</v>
      </c>
      <c r="F260" t="inlineStr">
        <is>
          <t>ÖSTERGÖTLANDS LÄN</t>
        </is>
      </c>
      <c r="G260" t="inlineStr">
        <is>
          <t>VALDEMARSVIK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44573</v>
      </c>
      <c r="E261" s="1" t="n">
        <v>46321</v>
      </c>
      <c r="F261" t="inlineStr">
        <is>
          <t>ÖSTERGÖTLANDS LÄN</t>
        </is>
      </c>
      <c r="G261" t="inlineStr">
        <is>
          <t>VALDEMARSVIK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46321</v>
      </c>
      <c r="F262" t="inlineStr">
        <is>
          <t>ÖSTERGÖTLANDS LÄN</t>
        </is>
      </c>
      <c r="G262" t="inlineStr">
        <is>
          <t>VALDEMARSVIK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46321</v>
      </c>
      <c r="F263" t="inlineStr">
        <is>
          <t>ÖSTERGÖTLANDS LÄN</t>
        </is>
      </c>
      <c r="G263" t="inlineStr">
        <is>
          <t>VALDEMARSVIK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46321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45195</v>
      </c>
      <c r="E265" s="1" t="n">
        <v>46321</v>
      </c>
      <c r="F265" t="inlineStr">
        <is>
          <t>ÖSTERGÖTLANDS LÄN</t>
        </is>
      </c>
      <c r="G265" t="inlineStr">
        <is>
          <t>VALDEMARSVIK</t>
        </is>
      </c>
      <c r="I265" t="n">
        <v>15.8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24972-2022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44728</v>
      </c>
      <c r="E266" s="1" t="n">
        <v>46321</v>
      </c>
      <c r="F266" t="inlineStr">
        <is>
          <t>ÖSTERGÖTLANDS LÄN</t>
        </is>
      </c>
      <c r="G266" t="inlineStr">
        <is>
          <t>VALDEMARSVIK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44725</v>
      </c>
      <c r="E267" s="1" t="n">
        <v>46321</v>
      </c>
      <c r="F267" t="inlineStr">
        <is>
          <t>ÖSTERGÖTLANDS LÄN</t>
        </is>
      </c>
      <c r="G267" t="inlineStr">
        <is>
          <t>VALDEMARSVIK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45183</v>
      </c>
      <c r="E268" s="1" t="n">
        <v>46321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46321</v>
      </c>
      <c r="F269" t="inlineStr">
        <is>
          <t>ÖSTERGÖTLANDS LÄN</t>
        </is>
      </c>
      <c r="G269" t="inlineStr">
        <is>
          <t>VALDEMARSVIK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46321</v>
      </c>
      <c r="F270" t="inlineStr">
        <is>
          <t>ÖSTERGÖTLANDS LÄN</t>
        </is>
      </c>
      <c r="G270" t="inlineStr">
        <is>
          <t>VALDEMARSVIK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45183</v>
      </c>
      <c r="E271" s="1" t="n">
        <v>46321</v>
      </c>
      <c r="F271" t="inlineStr">
        <is>
          <t>ÖSTERGÖTLANDS LÄN</t>
        </is>
      </c>
      <c r="G271" t="inlineStr">
        <is>
          <t>VALDEMARSVIK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44749</v>
      </c>
      <c r="E272" s="1" t="n">
        <v>46321</v>
      </c>
      <c r="F272" t="inlineStr">
        <is>
          <t>ÖSTERGÖTLANDS LÄN</t>
        </is>
      </c>
      <c r="G272" t="inlineStr">
        <is>
          <t>VALDEMARSVIK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46321</v>
      </c>
      <c r="F273" t="inlineStr">
        <is>
          <t>ÖSTERGÖTLANDS LÄN</t>
        </is>
      </c>
      <c r="G273" t="inlineStr">
        <is>
          <t>VALDEMARSVIK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45236</v>
      </c>
      <c r="E274" s="1" t="n">
        <v>46321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46321</v>
      </c>
      <c r="F275" t="inlineStr">
        <is>
          <t>ÖSTERGÖTLANDS LÄN</t>
        </is>
      </c>
      <c r="G275" t="inlineStr">
        <is>
          <t>VALDEMARSVIK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46321</v>
      </c>
      <c r="F276" t="inlineStr">
        <is>
          <t>ÖSTERGÖTLANDS LÄN</t>
        </is>
      </c>
      <c r="G276" t="inlineStr">
        <is>
          <t>VALDEMARSVIK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46321</v>
      </c>
      <c r="F277" t="inlineStr">
        <is>
          <t>ÖSTERGÖTLANDS LÄN</t>
        </is>
      </c>
      <c r="G277" t="inlineStr">
        <is>
          <t>VALDEMARSVIK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40728-2023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45170</v>
      </c>
      <c r="E278" s="1" t="n">
        <v>46321</v>
      </c>
      <c r="F278" t="inlineStr">
        <is>
          <t>ÖSTERGÖTLANDS LÄN</t>
        </is>
      </c>
      <c r="G278" t="inlineStr">
        <is>
          <t>VALDEMARSVIK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46321</v>
      </c>
      <c r="F279" t="inlineStr">
        <is>
          <t>ÖSTERGÖTLANDS LÄN</t>
        </is>
      </c>
      <c r="G279" t="inlineStr">
        <is>
          <t>VALDEMARSVIK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46321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45336</v>
      </c>
      <c r="E281" s="1" t="n">
        <v>46321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2472-2020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44140</v>
      </c>
      <c r="E282" s="1" t="n">
        <v>46321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1221-2020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43951</v>
      </c>
      <c r="E283" s="1" t="n">
        <v>46321</v>
      </c>
      <c r="F283" t="inlineStr">
        <is>
          <t>ÖSTERGÖTLANDS LÄN</t>
        </is>
      </c>
      <c r="G283" t="inlineStr">
        <is>
          <t>VALDEMARSVIK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3578-2022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44735</v>
      </c>
      <c r="E284" s="1" t="n">
        <v>46321</v>
      </c>
      <c r="F284" t="inlineStr">
        <is>
          <t>ÖSTERGÖTLANDS LÄN</t>
        </is>
      </c>
      <c r="G284" t="inlineStr">
        <is>
          <t>VALDEMARSVIK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70-2024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45300</v>
      </c>
      <c r="E285" s="1" t="n">
        <v>46321</v>
      </c>
      <c r="F285" t="inlineStr">
        <is>
          <t>ÖSTERGÖTLANDS LÄN</t>
        </is>
      </c>
      <c r="G285" t="inlineStr">
        <is>
          <t>VALDEMARSVIK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536-2025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45708</v>
      </c>
      <c r="E286" s="1" t="n">
        <v>46321</v>
      </c>
      <c r="F286" t="inlineStr">
        <is>
          <t>ÖSTERGÖTLANDS LÄN</t>
        </is>
      </c>
      <c r="G286" t="inlineStr">
        <is>
          <t>VALDEMARSVIK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508-2026</t>
        </is>
      </c>
      <c r="B287" t="inlineStr">
        <is>
          <t>samrådsanmälan</t>
        </is>
      </c>
      <c r="C287" t="inlineStr">
        <is>
          <t>Skogsgödsling</t>
        </is>
      </c>
      <c r="D287" s="1" t="n">
        <v>46076</v>
      </c>
      <c r="E287" s="1" t="n">
        <v>46321</v>
      </c>
      <c r="F287" t="inlineStr">
        <is>
          <t>ÖSTERGÖTLANDS LÄN</t>
        </is>
      </c>
      <c r="G287" t="inlineStr">
        <is>
          <t>VALDEMARSVIK</t>
        </is>
      </c>
      <c r="I287" t="n">
        <v>42.4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2026-10-26T03:11:06Z</dcterms:created>
  <dcterms:modified xmlns:dcterms="http://purl.org/dc/terms/" xmlns:xsi="http://www.w3.org/2001/XMLSchema-instance" xsi:type="dcterms:W3CDTF">2026-10-26T03:11:06Z</dcterms:modified>
</cp:coreProperties>
</file>