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45887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45887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45887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43511-2024</t>
        </is>
      </c>
      <c r="B11" s="1" t="n">
        <v>45569.31560185185</v>
      </c>
      <c r="C11" s="1" t="n">
        <v>45887</v>
      </c>
      <c r="D11" t="inlineStr">
        <is>
          <t>ÖSTERGÖTLANDS LÄN</t>
        </is>
      </c>
      <c r="E11" t="inlineStr">
        <is>
          <t>VALDEMARSVIK</t>
        </is>
      </c>
      <c r="G11" t="n">
        <v>3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Blåsippa
Mattlummer
Revlummer</t>
        </is>
      </c>
      <c r="S11">
        <f>HYPERLINK("https://klasma.github.io/Logging_0563/artfynd/A 43511-2024 artfynd.xlsx", "A 43511-2024")</f>
        <v/>
      </c>
      <c r="T11">
        <f>HYPERLINK("https://klasma.github.io/Logging_0563/kartor/A 43511-2024 karta.png", "A 43511-2024")</f>
        <v/>
      </c>
      <c r="V11">
        <f>HYPERLINK("https://klasma.github.io/Logging_0563/klagomål/A 43511-2024 FSC-klagomål.docx", "A 43511-2024")</f>
        <v/>
      </c>
      <c r="W11">
        <f>HYPERLINK("https://klasma.github.io/Logging_0563/klagomålsmail/A 43511-2024 FSC-klagomål mail.docx", "A 43511-2024")</f>
        <v/>
      </c>
      <c r="X11">
        <f>HYPERLINK("https://klasma.github.io/Logging_0563/tillsyn/A 43511-2024 tillsynsbegäran.docx", "A 43511-2024")</f>
        <v/>
      </c>
      <c r="Y11">
        <f>HYPERLINK("https://klasma.github.io/Logging_0563/tillsynsmail/A 43511-2024 tillsynsbegäran mail.docx", "A 43511-2024")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45887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45887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45887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45887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4051-2023</t>
        </is>
      </c>
      <c r="B16" s="1" t="n">
        <v>44952</v>
      </c>
      <c r="C16" s="1" t="n">
        <v>45887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HYPERLINK("https://klasma.github.io/Logging_0563/artfynd/A 4051-2023 artfynd.xlsx", "A 4051-2023")</f>
        <v/>
      </c>
      <c r="T16">
        <f>HYPERLINK("https://klasma.github.io/Logging_0563/kartor/A 4051-2023 karta.png", "A 4051-2023")</f>
        <v/>
      </c>
      <c r="V16">
        <f>HYPERLINK("https://klasma.github.io/Logging_0563/klagomål/A 4051-2023 FSC-klagomål.docx", "A 4051-2023")</f>
        <v/>
      </c>
      <c r="W16">
        <f>HYPERLINK("https://klasma.github.io/Logging_0563/klagomålsmail/A 4051-2023 FSC-klagomål mail.docx", "A 4051-2023")</f>
        <v/>
      </c>
      <c r="X16">
        <f>HYPERLINK("https://klasma.github.io/Logging_0563/tillsyn/A 4051-2023 tillsynsbegäran.docx", "A 4051-2023")</f>
        <v/>
      </c>
      <c r="Y16">
        <f>HYPERLINK("https://klasma.github.io/Logging_0563/tillsynsmail/A 4051-2023 tillsynsbegäran mail.docx", "A 4051-2023")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45887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45887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45887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45887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16388-2021</t>
        </is>
      </c>
      <c r="B21" s="1" t="n">
        <v>44293</v>
      </c>
      <c r="C21" s="1" t="n">
        <v>45887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Svedjenäva</t>
        </is>
      </c>
      <c r="S21">
        <f>HYPERLINK("https://klasma.github.io/Logging_0563/artfynd/A 16388-2021 artfynd.xlsx", "A 16388-2021")</f>
        <v/>
      </c>
      <c r="T21">
        <f>HYPERLINK("https://klasma.github.io/Logging_0563/kartor/A 16388-2021 karta.png", "A 16388-2021")</f>
        <v/>
      </c>
      <c r="V21">
        <f>HYPERLINK("https://klasma.github.io/Logging_0563/klagomål/A 16388-2021 FSC-klagomål.docx", "A 16388-2021")</f>
        <v/>
      </c>
      <c r="W21">
        <f>HYPERLINK("https://klasma.github.io/Logging_0563/klagomålsmail/A 16388-2021 FSC-klagomål mail.docx", "A 16388-2021")</f>
        <v/>
      </c>
      <c r="X21">
        <f>HYPERLINK("https://klasma.github.io/Logging_0563/tillsyn/A 16388-2021 tillsynsbegäran.docx", "A 16388-2021")</f>
        <v/>
      </c>
      <c r="Y21">
        <f>HYPERLINK("https://klasma.github.io/Logging_0563/tillsynsmail/A 16388-2021 tillsynsbegäran mail.docx", "A 16388-2021")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45887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16392-2025</t>
        </is>
      </c>
      <c r="B23" s="1" t="n">
        <v>45751.43395833333</v>
      </c>
      <c r="C23" s="1" t="n">
        <v>45887</v>
      </c>
      <c r="D23" t="inlineStr">
        <is>
          <t>ÖSTERGÖTLANDS LÄN</t>
        </is>
      </c>
      <c r="E23" t="inlineStr">
        <is>
          <t>VALDEMARSVIK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HYPERLINK("https://klasma.github.io/Logging_0563/artfynd/A 16392-2025 artfynd.xlsx", "A 16392-2025")</f>
        <v/>
      </c>
      <c r="T23">
        <f>HYPERLINK("https://klasma.github.io/Logging_0563/kartor/A 16392-2025 karta.png", "A 16392-2025")</f>
        <v/>
      </c>
      <c r="V23">
        <f>HYPERLINK("https://klasma.github.io/Logging_0563/klagomål/A 16392-2025 FSC-klagomål.docx", "A 16392-2025")</f>
        <v/>
      </c>
      <c r="W23">
        <f>HYPERLINK("https://klasma.github.io/Logging_0563/klagomålsmail/A 16392-2025 FSC-klagomål mail.docx", "A 16392-2025")</f>
        <v/>
      </c>
      <c r="X23">
        <f>HYPERLINK("https://klasma.github.io/Logging_0563/tillsyn/A 16392-2025 tillsynsbegäran.docx", "A 16392-2025")</f>
        <v/>
      </c>
      <c r="Y23">
        <f>HYPERLINK("https://klasma.github.io/Logging_0563/tillsynsmail/A 16392-2025 tillsynsbegäran mail.docx", "A 16392-2025")</f>
        <v/>
      </c>
    </row>
    <row r="24" ht="15" customHeight="1">
      <c r="A24" t="inlineStr">
        <is>
          <t>A 8238-2021</t>
        </is>
      </c>
      <c r="B24" s="1" t="n">
        <v>44244</v>
      </c>
      <c r="C24" s="1" t="n">
        <v>45887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46523-2020</t>
        </is>
      </c>
      <c r="B25" s="1" t="n">
        <v>44095</v>
      </c>
      <c r="C25" s="1" t="n">
        <v>45887</v>
      </c>
      <c r="D25" t="inlineStr">
        <is>
          <t>ÖSTERGÖTLANDS LÄN</t>
        </is>
      </c>
      <c r="E25" t="inlineStr">
        <is>
          <t>VALDEMARSVIK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55621-2020</t>
        </is>
      </c>
      <c r="B26" s="1" t="n">
        <v>44131.70219907408</v>
      </c>
      <c r="C26" s="1" t="n">
        <v>45887</v>
      </c>
      <c r="D26" t="inlineStr">
        <is>
          <t>ÖSTERGÖTLANDS LÄN</t>
        </is>
      </c>
      <c r="E26" t="inlineStr">
        <is>
          <t>VALDEMARSVIK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33868-2021</t>
        </is>
      </c>
      <c r="B27" s="1" t="n">
        <v>44378</v>
      </c>
      <c r="C27" s="1" t="n">
        <v>45887</v>
      </c>
      <c r="D27" t="inlineStr">
        <is>
          <t>ÖSTERGÖTLANDS LÄN</t>
        </is>
      </c>
      <c r="E27" t="inlineStr">
        <is>
          <t>VALDEMARSVIK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38796-2021</t>
        </is>
      </c>
      <c r="B28" s="1" t="n">
        <v>44410</v>
      </c>
      <c r="C28" s="1" t="n">
        <v>45887</v>
      </c>
      <c r="D28" t="inlineStr">
        <is>
          <t>ÖSTERGÖTLANDS LÄN</t>
        </is>
      </c>
      <c r="E28" t="inlineStr">
        <is>
          <t>VALDEMARSVIK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8718-2022</t>
        </is>
      </c>
      <c r="B29" s="1" t="n">
        <v>44613.79927083333</v>
      </c>
      <c r="C29" s="1" t="n">
        <v>45887</v>
      </c>
      <c r="D29" t="inlineStr">
        <is>
          <t>ÖSTERGÖTLANDS LÄN</t>
        </is>
      </c>
      <c r="E29" t="inlineStr">
        <is>
          <t>VALDEMARSVIK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29011-2022</t>
        </is>
      </c>
      <c r="B30" s="1" t="n">
        <v>44749.70993055555</v>
      </c>
      <c r="C30" s="1" t="n">
        <v>45887</v>
      </c>
      <c r="D30" t="inlineStr">
        <is>
          <t>ÖSTERGÖTLANDS LÄN</t>
        </is>
      </c>
      <c r="E30" t="inlineStr">
        <is>
          <t>VALDEMARSVIK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47404-2020</t>
        </is>
      </c>
      <c r="B31" s="1" t="n">
        <v>44097</v>
      </c>
      <c r="C31" s="1" t="n">
        <v>45887</v>
      </c>
      <c r="D31" t="inlineStr">
        <is>
          <t>ÖSTERGÖTLANDS LÄN</t>
        </is>
      </c>
      <c r="E31" t="inlineStr">
        <is>
          <t>VALDEMARSVIK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507-2021</t>
        </is>
      </c>
      <c r="B32" s="1" t="n">
        <v>44203</v>
      </c>
      <c r="C32" s="1" t="n">
        <v>45887</v>
      </c>
      <c r="D32" t="inlineStr">
        <is>
          <t>ÖSTERGÖTLANDS LÄN</t>
        </is>
      </c>
      <c r="E32" t="inlineStr">
        <is>
          <t>VALDEMARSVIK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49302-2021</t>
        </is>
      </c>
      <c r="B33" s="1" t="n">
        <v>44454.49141203704</v>
      </c>
      <c r="C33" s="1" t="n">
        <v>45887</v>
      </c>
      <c r="D33" t="inlineStr">
        <is>
          <t>ÖSTERGÖTLANDS LÄN</t>
        </is>
      </c>
      <c r="E33" t="inlineStr">
        <is>
          <t>VALDEMARSVIK</t>
        </is>
      </c>
      <c r="G33" t="n">
        <v>14.6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45887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45887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47632-2022</t>
        </is>
      </c>
      <c r="B36" s="1" t="n">
        <v>44852</v>
      </c>
      <c r="C36" s="1" t="n">
        <v>45887</v>
      </c>
      <c r="D36" t="inlineStr">
        <is>
          <t>ÖSTERGÖTLANDS LÄN</t>
        </is>
      </c>
      <c r="E36" t="inlineStr">
        <is>
          <t>VALDEMARSVIK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39957-2021</t>
        </is>
      </c>
      <c r="B37" s="1" t="n">
        <v>44417</v>
      </c>
      <c r="C37" s="1" t="n">
        <v>45887</v>
      </c>
      <c r="D37" t="inlineStr">
        <is>
          <t>ÖSTERGÖTLANDS LÄN</t>
        </is>
      </c>
      <c r="E37" t="inlineStr">
        <is>
          <t>VALDEMARSVIK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45887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14875-2021</t>
        </is>
      </c>
      <c r="B39" s="1" t="n">
        <v>44281.03122685185</v>
      </c>
      <c r="C39" s="1" t="n">
        <v>45887</v>
      </c>
      <c r="D39" t="inlineStr">
        <is>
          <t>ÖSTERGÖTLANDS LÄN</t>
        </is>
      </c>
      <c r="E39" t="inlineStr">
        <is>
          <t>VALDEMARSVIK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70314-2021</t>
        </is>
      </c>
      <c r="B40" s="1" t="n">
        <v>44536</v>
      </c>
      <c r="C40" s="1" t="n">
        <v>45887</v>
      </c>
      <c r="D40" t="inlineStr">
        <is>
          <t>ÖSTERGÖTLANDS LÄN</t>
        </is>
      </c>
      <c r="E40" t="inlineStr">
        <is>
          <t>VALDEMARSVIK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28769-2021</t>
        </is>
      </c>
      <c r="B41" s="1" t="n">
        <v>44357</v>
      </c>
      <c r="C41" s="1" t="n">
        <v>45887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56189-2020</t>
        </is>
      </c>
      <c r="B42" s="1" t="n">
        <v>44133</v>
      </c>
      <c r="C42" s="1" t="n">
        <v>45887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56842-2020</t>
        </is>
      </c>
      <c r="B43" s="1" t="n">
        <v>44138</v>
      </c>
      <c r="C43" s="1" t="n">
        <v>45887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8717-2022</t>
        </is>
      </c>
      <c r="B44" s="1" t="n">
        <v>44613</v>
      </c>
      <c r="C44" s="1" t="n">
        <v>45887</v>
      </c>
      <c r="D44" t="inlineStr">
        <is>
          <t>ÖSTERGÖTLANDS LÄN</t>
        </is>
      </c>
      <c r="E44" t="inlineStr">
        <is>
          <t>VALDEMARSVIK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14312-2021</t>
        </is>
      </c>
      <c r="B45" s="1" t="n">
        <v>44278.7549537037</v>
      </c>
      <c r="C45" s="1" t="n">
        <v>45887</v>
      </c>
      <c r="D45" t="inlineStr">
        <is>
          <t>ÖSTERGÖTLANDS LÄN</t>
        </is>
      </c>
      <c r="E45" t="inlineStr">
        <is>
          <t>VALDEMARSVIK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69457-2021</t>
        </is>
      </c>
      <c r="B46" s="1" t="n">
        <v>44531.66954861111</v>
      </c>
      <c r="C46" s="1" t="n">
        <v>45887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24350-2022</t>
        </is>
      </c>
      <c r="B47" s="1" t="n">
        <v>44726</v>
      </c>
      <c r="C47" s="1" t="n">
        <v>45887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7128-2022</t>
        </is>
      </c>
      <c r="B48" s="1" t="n">
        <v>44603.67851851852</v>
      </c>
      <c r="C48" s="1" t="n">
        <v>45887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53281-2020</t>
        </is>
      </c>
      <c r="B49" s="1" t="n">
        <v>44123.42105324074</v>
      </c>
      <c r="C49" s="1" t="n">
        <v>45887</v>
      </c>
      <c r="D49" t="inlineStr">
        <is>
          <t>ÖSTERGÖTLANDS LÄN</t>
        </is>
      </c>
      <c r="E49" t="inlineStr">
        <is>
          <t>VALDEMARSVIK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47418-2020</t>
        </is>
      </c>
      <c r="B50" s="1" t="n">
        <v>44097</v>
      </c>
      <c r="C50" s="1" t="n">
        <v>45887</v>
      </c>
      <c r="D50" t="inlineStr">
        <is>
          <t>ÖSTERGÖTLANDS LÄN</t>
        </is>
      </c>
      <c r="E50" t="inlineStr">
        <is>
          <t>VALDEMARSVIK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55817-2020</t>
        </is>
      </c>
      <c r="B51" s="1" t="n">
        <v>44132</v>
      </c>
      <c r="C51" s="1" t="n">
        <v>45887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16057-2021</t>
        </is>
      </c>
      <c r="B52" s="1" t="n">
        <v>44287</v>
      </c>
      <c r="C52" s="1" t="n">
        <v>45887</v>
      </c>
      <c r="D52" t="inlineStr">
        <is>
          <t>ÖSTERGÖTLANDS LÄN</t>
        </is>
      </c>
      <c r="E52" t="inlineStr">
        <is>
          <t>VALDEMARSVIK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69261-2021</t>
        </is>
      </c>
      <c r="B53" s="1" t="n">
        <v>44531</v>
      </c>
      <c r="C53" s="1" t="n">
        <v>45887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54231-2022</t>
        </is>
      </c>
      <c r="B54" s="1" t="n">
        <v>44881.90741898148</v>
      </c>
      <c r="C54" s="1" t="n">
        <v>45887</v>
      </c>
      <c r="D54" t="inlineStr">
        <is>
          <t>ÖSTERGÖTLANDS LÄN</t>
        </is>
      </c>
      <c r="E54" t="inlineStr">
        <is>
          <t>VALDEMARSVIK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13419-2021</t>
        </is>
      </c>
      <c r="B55" s="1" t="n">
        <v>44273</v>
      </c>
      <c r="C55" s="1" t="n">
        <v>45887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29946-2021</t>
        </is>
      </c>
      <c r="B56" s="1" t="n">
        <v>44362</v>
      </c>
      <c r="C56" s="1" t="n">
        <v>45887</v>
      </c>
      <c r="D56" t="inlineStr">
        <is>
          <t>ÖSTERGÖTLANDS LÄN</t>
        </is>
      </c>
      <c r="E56" t="inlineStr">
        <is>
          <t>VALDEMARSVIK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22453-2021</t>
        </is>
      </c>
      <c r="B57" s="1" t="n">
        <v>44326</v>
      </c>
      <c r="C57" s="1" t="n">
        <v>45887</v>
      </c>
      <c r="D57" t="inlineStr">
        <is>
          <t>ÖSTERGÖTLANDS LÄN</t>
        </is>
      </c>
      <c r="E57" t="inlineStr">
        <is>
          <t>VALDEMARSVIK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50853-2020</t>
        </is>
      </c>
      <c r="B58" s="1" t="n">
        <v>44111</v>
      </c>
      <c r="C58" s="1" t="n">
        <v>45887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14911-2021</t>
        </is>
      </c>
      <c r="B59" s="1" t="n">
        <v>44281</v>
      </c>
      <c r="C59" s="1" t="n">
        <v>45887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55623-2020</t>
        </is>
      </c>
      <c r="B60" s="1" t="n">
        <v>44131.7058912037</v>
      </c>
      <c r="C60" s="1" t="n">
        <v>45887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59399-2021</t>
        </is>
      </c>
      <c r="B61" s="1" t="n">
        <v>44491.40493055555</v>
      </c>
      <c r="C61" s="1" t="n">
        <v>45887</v>
      </c>
      <c r="D61" t="inlineStr">
        <is>
          <t>ÖSTERGÖTLANDS LÄN</t>
        </is>
      </c>
      <c r="E61" t="inlineStr">
        <is>
          <t>VALDEMARSVIK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8720-2022</t>
        </is>
      </c>
      <c r="B62" s="1" t="n">
        <v>44613.80142361111</v>
      </c>
      <c r="C62" s="1" t="n">
        <v>45887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118-2022</t>
        </is>
      </c>
      <c r="B63" s="1" t="n">
        <v>44564.54900462963</v>
      </c>
      <c r="C63" s="1" t="n">
        <v>45887</v>
      </c>
      <c r="D63" t="inlineStr">
        <is>
          <t>ÖSTERGÖTLANDS LÄN</t>
        </is>
      </c>
      <c r="E63" t="inlineStr">
        <is>
          <t>VALDEMARSVIK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8688-2022</t>
        </is>
      </c>
      <c r="B64" s="1" t="n">
        <v>44613.69971064815</v>
      </c>
      <c r="C64" s="1" t="n">
        <v>45887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65726-2020</t>
        </is>
      </c>
      <c r="B65" s="1" t="n">
        <v>44172</v>
      </c>
      <c r="C65" s="1" t="n">
        <v>45887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12094-2022</t>
        </is>
      </c>
      <c r="B66" s="1" t="n">
        <v>44636</v>
      </c>
      <c r="C66" s="1" t="n">
        <v>45887</v>
      </c>
      <c r="D66" t="inlineStr">
        <is>
          <t>ÖSTERGÖTLANDS LÄN</t>
        </is>
      </c>
      <c r="E66" t="inlineStr">
        <is>
          <t>VALDEMARSVIK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58100-2021</t>
        </is>
      </c>
      <c r="B67" s="1" t="n">
        <v>44487</v>
      </c>
      <c r="C67" s="1" t="n">
        <v>45887</v>
      </c>
      <c r="D67" t="inlineStr">
        <is>
          <t>ÖSTERGÖTLANDS LÄN</t>
        </is>
      </c>
      <c r="E67" t="inlineStr">
        <is>
          <t>VALDEMARSVIK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55304-2022</t>
        </is>
      </c>
      <c r="B68" s="1" t="n">
        <v>44882</v>
      </c>
      <c r="C68" s="1" t="n">
        <v>45887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39961-2021</t>
        </is>
      </c>
      <c r="B69" s="1" t="n">
        <v>44417</v>
      </c>
      <c r="C69" s="1" t="n">
        <v>45887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45887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49299-2021</t>
        </is>
      </c>
      <c r="B71" s="1" t="n">
        <v>44454</v>
      </c>
      <c r="C71" s="1" t="n">
        <v>45887</v>
      </c>
      <c r="D71" t="inlineStr">
        <is>
          <t>ÖSTERGÖTLANDS LÄN</t>
        </is>
      </c>
      <c r="E71" t="inlineStr">
        <is>
          <t>VALDEMARSVIK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54230-2022</t>
        </is>
      </c>
      <c r="B72" s="1" t="n">
        <v>44881.90604166667</v>
      </c>
      <c r="C72" s="1" t="n">
        <v>45887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15115-2022</t>
        </is>
      </c>
      <c r="B73" s="1" t="n">
        <v>44658</v>
      </c>
      <c r="C73" s="1" t="n">
        <v>45887</v>
      </c>
      <c r="D73" t="inlineStr">
        <is>
          <t>ÖSTERGÖTLANDS LÄN</t>
        </is>
      </c>
      <c r="E73" t="inlineStr">
        <is>
          <t>VALDEMARSVIK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45887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7138-2022</t>
        </is>
      </c>
      <c r="B75" s="1" t="n">
        <v>44603.70393518519</v>
      </c>
      <c r="C75" s="1" t="n">
        <v>45887</v>
      </c>
      <c r="D75" t="inlineStr">
        <is>
          <t>ÖSTERGÖTLANDS LÄN</t>
        </is>
      </c>
      <c r="E75" t="inlineStr">
        <is>
          <t>VALDEMARSVIK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1527-2022</t>
        </is>
      </c>
      <c r="B76" s="1" t="n">
        <v>44573.57579861111</v>
      </c>
      <c r="C76" s="1" t="n">
        <v>45887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19050-2021</t>
        </is>
      </c>
      <c r="B77" s="1" t="n">
        <v>44308</v>
      </c>
      <c r="C77" s="1" t="n">
        <v>45887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54466-2020</t>
        </is>
      </c>
      <c r="B78" s="1" t="n">
        <v>44125</v>
      </c>
      <c r="C78" s="1" t="n">
        <v>45887</v>
      </c>
      <c r="D78" t="inlineStr">
        <is>
          <t>ÖSTERGÖTLANDS LÄN</t>
        </is>
      </c>
      <c r="E78" t="inlineStr">
        <is>
          <t>VALDEMARSVIK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1424-2022</t>
        </is>
      </c>
      <c r="B79" s="1" t="n">
        <v>44573</v>
      </c>
      <c r="C79" s="1" t="n">
        <v>45887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59835-2020</t>
        </is>
      </c>
      <c r="B80" s="1" t="n">
        <v>44151</v>
      </c>
      <c r="C80" s="1" t="n">
        <v>45887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14518-2022</t>
        </is>
      </c>
      <c r="B81" s="1" t="n">
        <v>44656</v>
      </c>
      <c r="C81" s="1" t="n">
        <v>45887</v>
      </c>
      <c r="D81" t="inlineStr">
        <is>
          <t>ÖSTERGÖTLANDS LÄN</t>
        </is>
      </c>
      <c r="E81" t="inlineStr">
        <is>
          <t>VALDEMARSVIK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10050-2021</t>
        </is>
      </c>
      <c r="B82" s="1" t="n">
        <v>44256</v>
      </c>
      <c r="C82" s="1" t="n">
        <v>45887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24971-2022</t>
        </is>
      </c>
      <c r="B83" s="1" t="n">
        <v>44728.68993055556</v>
      </c>
      <c r="C83" s="1" t="n">
        <v>45887</v>
      </c>
      <c r="D83" t="inlineStr">
        <is>
          <t>ÖSTERGÖTLANDS LÄN</t>
        </is>
      </c>
      <c r="E83" t="inlineStr">
        <is>
          <t>VALDEMARSVIK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49549-2020</t>
        </is>
      </c>
      <c r="B84" s="1" t="n">
        <v>44106</v>
      </c>
      <c r="C84" s="1" t="n">
        <v>45887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21874-2021</t>
        </is>
      </c>
      <c r="B85" s="1" t="n">
        <v>44322</v>
      </c>
      <c r="C85" s="1" t="n">
        <v>45887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14561-2021</t>
        </is>
      </c>
      <c r="B86" s="1" t="n">
        <v>44279.75896990741</v>
      </c>
      <c r="C86" s="1" t="n">
        <v>45887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4927-2022</t>
        </is>
      </c>
      <c r="B87" s="1" t="n">
        <v>44593</v>
      </c>
      <c r="C87" s="1" t="n">
        <v>45887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53782-2021</t>
        </is>
      </c>
      <c r="B88" s="1" t="n">
        <v>44463</v>
      </c>
      <c r="C88" s="1" t="n">
        <v>45887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22311-2022</t>
        </is>
      </c>
      <c r="B89" s="1" t="n">
        <v>44712</v>
      </c>
      <c r="C89" s="1" t="n">
        <v>45887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32571-2021</t>
        </is>
      </c>
      <c r="B90" s="1" t="n">
        <v>44371</v>
      </c>
      <c r="C90" s="1" t="n">
        <v>45887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1606-2022</t>
        </is>
      </c>
      <c r="B91" s="1" t="n">
        <v>44573</v>
      </c>
      <c r="C91" s="1" t="n">
        <v>45887</v>
      </c>
      <c r="D91" t="inlineStr">
        <is>
          <t>ÖSTERGÖTLANDS LÄN</t>
        </is>
      </c>
      <c r="E91" t="inlineStr">
        <is>
          <t>VALDEMARSVIK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6996-2022</t>
        </is>
      </c>
      <c r="B92" s="1" t="n">
        <v>44603</v>
      </c>
      <c r="C92" s="1" t="n">
        <v>45887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20534-2021</t>
        </is>
      </c>
      <c r="B93" s="1" t="n">
        <v>44315</v>
      </c>
      <c r="C93" s="1" t="n">
        <v>45887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56581-2021</t>
        </is>
      </c>
      <c r="B94" s="1" t="n">
        <v>44480.65591435185</v>
      </c>
      <c r="C94" s="1" t="n">
        <v>45887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10120-2025</t>
        </is>
      </c>
      <c r="B95" s="1" t="n">
        <v>45719.60015046296</v>
      </c>
      <c r="C95" s="1" t="n">
        <v>45887</v>
      </c>
      <c r="D95" t="inlineStr">
        <is>
          <t>ÖSTERGÖTLANDS LÄN</t>
        </is>
      </c>
      <c r="E95" t="inlineStr">
        <is>
          <t>VALDEMARSVIK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35659-2022</t>
        </is>
      </c>
      <c r="B96" s="1" t="n">
        <v>44799.58418981481</v>
      </c>
      <c r="C96" s="1" t="n">
        <v>45887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7237-2024</t>
        </is>
      </c>
      <c r="B97" s="1" t="n">
        <v>45344</v>
      </c>
      <c r="C97" s="1" t="n">
        <v>45887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46187-2024</t>
        </is>
      </c>
      <c r="B98" s="1" t="n">
        <v>45581</v>
      </c>
      <c r="C98" s="1" t="n">
        <v>45887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7634-2022</t>
        </is>
      </c>
      <c r="B99" s="1" t="n">
        <v>44607.71590277777</v>
      </c>
      <c r="C99" s="1" t="n">
        <v>45887</v>
      </c>
      <c r="D99" t="inlineStr">
        <is>
          <t>ÖSTERGÖTLANDS LÄN</t>
        </is>
      </c>
      <c r="E99" t="inlineStr">
        <is>
          <t>VALDEMARSVIK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6502-2024</t>
        </is>
      </c>
      <c r="B100" s="1" t="n">
        <v>45339</v>
      </c>
      <c r="C100" s="1" t="n">
        <v>45887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11252-2022</t>
        </is>
      </c>
      <c r="B101" s="1" t="n">
        <v>44629</v>
      </c>
      <c r="C101" s="1" t="n">
        <v>45887</v>
      </c>
      <c r="D101" t="inlineStr">
        <is>
          <t>ÖSTERGÖTLANDS LÄN</t>
        </is>
      </c>
      <c r="E101" t="inlineStr">
        <is>
          <t>VALDEMARSVIK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8678-2024</t>
        </is>
      </c>
      <c r="B102" s="1" t="n">
        <v>45354</v>
      </c>
      <c r="C102" s="1" t="n">
        <v>45887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67492-2020</t>
        </is>
      </c>
      <c r="B103" s="1" t="n">
        <v>44181</v>
      </c>
      <c r="C103" s="1" t="n">
        <v>45887</v>
      </c>
      <c r="D103" t="inlineStr">
        <is>
          <t>ÖSTERGÖTLANDS LÄN</t>
        </is>
      </c>
      <c r="E103" t="inlineStr">
        <is>
          <t>VALDEMARSVIK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62914-2023</t>
        </is>
      </c>
      <c r="B104" s="1" t="n">
        <v>45271</v>
      </c>
      <c r="C104" s="1" t="n">
        <v>45887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26968-2023</t>
        </is>
      </c>
      <c r="B105" s="1" t="n">
        <v>45093</v>
      </c>
      <c r="C105" s="1" t="n">
        <v>45887</v>
      </c>
      <c r="D105" t="inlineStr">
        <is>
          <t>ÖSTERGÖTLANDS LÄN</t>
        </is>
      </c>
      <c r="E105" t="inlineStr">
        <is>
          <t>VALDEMARSVIK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47421-2020</t>
        </is>
      </c>
      <c r="B106" s="1" t="n">
        <v>44097</v>
      </c>
      <c r="C106" s="1" t="n">
        <v>45887</v>
      </c>
      <c r="D106" t="inlineStr">
        <is>
          <t>ÖSTERGÖTLANDS LÄN</t>
        </is>
      </c>
      <c r="E106" t="inlineStr">
        <is>
          <t>VALDEMARSVIK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47354-2023</t>
        </is>
      </c>
      <c r="B107" s="1" t="n">
        <v>45202.58068287037</v>
      </c>
      <c r="C107" s="1" t="n">
        <v>45887</v>
      </c>
      <c r="D107" t="inlineStr">
        <is>
          <t>ÖSTERGÖTLANDS LÄN</t>
        </is>
      </c>
      <c r="E107" t="inlineStr">
        <is>
          <t>VALDEMARSVIK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3276-2024</t>
        </is>
      </c>
      <c r="B108" s="1" t="n">
        <v>45317.41827546297</v>
      </c>
      <c r="C108" s="1" t="n">
        <v>45887</v>
      </c>
      <c r="D108" t="inlineStr">
        <is>
          <t>ÖSTERGÖTLANDS LÄN</t>
        </is>
      </c>
      <c r="E108" t="inlineStr">
        <is>
          <t>VALDEMARSVIK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15648-2024</t>
        </is>
      </c>
      <c r="B109" s="1" t="n">
        <v>45404.35048611111</v>
      </c>
      <c r="C109" s="1" t="n">
        <v>45887</v>
      </c>
      <c r="D109" t="inlineStr">
        <is>
          <t>ÖSTERGÖTLANDS LÄN</t>
        </is>
      </c>
      <c r="E109" t="inlineStr">
        <is>
          <t>VALDEMARSVIK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8965-2023</t>
        </is>
      </c>
      <c r="B110" s="1" t="n">
        <v>44979.48650462963</v>
      </c>
      <c r="C110" s="1" t="n">
        <v>45887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1338-2025</t>
        </is>
      </c>
      <c r="B111" s="1" t="n">
        <v>45667.58902777778</v>
      </c>
      <c r="C111" s="1" t="n">
        <v>45887</v>
      </c>
      <c r="D111" t="inlineStr">
        <is>
          <t>ÖSTERGÖTLANDS LÄN</t>
        </is>
      </c>
      <c r="E111" t="inlineStr">
        <is>
          <t>VALDEMARSVIK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59516-2023</t>
        </is>
      </c>
      <c r="B112" s="1" t="n">
        <v>45254</v>
      </c>
      <c r="C112" s="1" t="n">
        <v>45887</v>
      </c>
      <c r="D112" t="inlineStr">
        <is>
          <t>ÖSTERGÖTLANDS LÄN</t>
        </is>
      </c>
      <c r="E112" t="inlineStr">
        <is>
          <t>VALDEMARSVIK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17114-2025</t>
        </is>
      </c>
      <c r="B113" s="1" t="n">
        <v>45755.6821875</v>
      </c>
      <c r="C113" s="1" t="n">
        <v>45887</v>
      </c>
      <c r="D113" t="inlineStr">
        <is>
          <t>ÖSTERGÖTLANDS LÄN</t>
        </is>
      </c>
      <c r="E113" t="inlineStr">
        <is>
          <t>VALDEMARSVIK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20069-2025</t>
        </is>
      </c>
      <c r="B114" s="1" t="n">
        <v>45772.44016203703</v>
      </c>
      <c r="C114" s="1" t="n">
        <v>45887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39583-2022</t>
        </is>
      </c>
      <c r="B115" s="1" t="n">
        <v>44818.60185185185</v>
      </c>
      <c r="C115" s="1" t="n">
        <v>45887</v>
      </c>
      <c r="D115" t="inlineStr">
        <is>
          <t>ÖSTERGÖTLANDS LÄN</t>
        </is>
      </c>
      <c r="E115" t="inlineStr">
        <is>
          <t>VALDEMARSVIK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21233-2023</t>
        </is>
      </c>
      <c r="B116" s="1" t="n">
        <v>45062</v>
      </c>
      <c r="C116" s="1" t="n">
        <v>45887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21396-2025</t>
        </is>
      </c>
      <c r="B117" s="1" t="n">
        <v>45782.48217592593</v>
      </c>
      <c r="C117" s="1" t="n">
        <v>45887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21417-2025</t>
        </is>
      </c>
      <c r="B118" s="1" t="n">
        <v>45782.49773148148</v>
      </c>
      <c r="C118" s="1" t="n">
        <v>45887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21523-2025</t>
        </is>
      </c>
      <c r="B119" s="1" t="n">
        <v>45782.64012731481</v>
      </c>
      <c r="C119" s="1" t="n">
        <v>45887</v>
      </c>
      <c r="D119" t="inlineStr">
        <is>
          <t>ÖSTERGÖTLANDS LÄN</t>
        </is>
      </c>
      <c r="E119" t="inlineStr">
        <is>
          <t>VALDEMARSVIK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21499-2025</t>
        </is>
      </c>
      <c r="B120" s="1" t="n">
        <v>45782.60745370371</v>
      </c>
      <c r="C120" s="1" t="n">
        <v>45887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21525-2025</t>
        </is>
      </c>
      <c r="B121" s="1" t="n">
        <v>45782.64457175926</v>
      </c>
      <c r="C121" s="1" t="n">
        <v>45887</v>
      </c>
      <c r="D121" t="inlineStr">
        <is>
          <t>ÖSTERGÖTLANDS LÄN</t>
        </is>
      </c>
      <c r="E121" t="inlineStr">
        <is>
          <t>VALDEMARSVIK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21537-2025</t>
        </is>
      </c>
      <c r="B122" s="1" t="n">
        <v>45782.65953703703</v>
      </c>
      <c r="C122" s="1" t="n">
        <v>45887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21390-2025</t>
        </is>
      </c>
      <c r="B123" s="1" t="n">
        <v>45782.47664351852</v>
      </c>
      <c r="C123" s="1" t="n">
        <v>45887</v>
      </c>
      <c r="D123" t="inlineStr">
        <is>
          <t>ÖSTERGÖTLANDS LÄN</t>
        </is>
      </c>
      <c r="E123" t="inlineStr">
        <is>
          <t>VALDEMARSVIK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21517-2025</t>
        </is>
      </c>
      <c r="B124" s="1" t="n">
        <v>45782.63564814815</v>
      </c>
      <c r="C124" s="1" t="n">
        <v>45887</v>
      </c>
      <c r="D124" t="inlineStr">
        <is>
          <t>ÖSTERGÖTLANDS LÄN</t>
        </is>
      </c>
      <c r="E124" t="inlineStr">
        <is>
          <t>VALDEMARSVIK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29041-2024</t>
        </is>
      </c>
      <c r="B125" s="1" t="n">
        <v>45481.61375</v>
      </c>
      <c r="C125" s="1" t="n">
        <v>45887</v>
      </c>
      <c r="D125" t="inlineStr">
        <is>
          <t>ÖSTERGÖTLANDS LÄN</t>
        </is>
      </c>
      <c r="E125" t="inlineStr">
        <is>
          <t>VALDEMARSVIK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28259-2023</t>
        </is>
      </c>
      <c r="B126" s="1" t="n">
        <v>45099.60927083333</v>
      </c>
      <c r="C126" s="1" t="n">
        <v>45887</v>
      </c>
      <c r="D126" t="inlineStr">
        <is>
          <t>ÖSTERGÖTLANDS LÄN</t>
        </is>
      </c>
      <c r="E126" t="inlineStr">
        <is>
          <t>VALDEMARSVIK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1620-2023</t>
        </is>
      </c>
      <c r="B127" s="1" t="n">
        <v>44937</v>
      </c>
      <c r="C127" s="1" t="n">
        <v>45887</v>
      </c>
      <c r="D127" t="inlineStr">
        <is>
          <t>ÖSTERGÖTLANDS LÄN</t>
        </is>
      </c>
      <c r="E127" t="inlineStr">
        <is>
          <t>VALDEMARSVIK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1621-2023</t>
        </is>
      </c>
      <c r="B128" s="1" t="n">
        <v>44937.72628472222</v>
      </c>
      <c r="C128" s="1" t="n">
        <v>45887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57862-2023</t>
        </is>
      </c>
      <c r="B129" s="1" t="n">
        <v>45247</v>
      </c>
      <c r="C129" s="1" t="n">
        <v>45887</v>
      </c>
      <c r="D129" t="inlineStr">
        <is>
          <t>ÖSTERGÖTLANDS LÄN</t>
        </is>
      </c>
      <c r="E129" t="inlineStr">
        <is>
          <t>VALDEMARSVIK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41881-2023</t>
        </is>
      </c>
      <c r="B130" s="1" t="n">
        <v>45176.67278935185</v>
      </c>
      <c r="C130" s="1" t="n">
        <v>45887</v>
      </c>
      <c r="D130" t="inlineStr">
        <is>
          <t>ÖSTERGÖTLANDS LÄN</t>
        </is>
      </c>
      <c r="E130" t="inlineStr">
        <is>
          <t>VALDEMARSVIK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23067-2025</t>
        </is>
      </c>
      <c r="B131" s="1" t="n">
        <v>45790</v>
      </c>
      <c r="C131" s="1" t="n">
        <v>45887</v>
      </c>
      <c r="D131" t="inlineStr">
        <is>
          <t>ÖSTERGÖTLANDS LÄN</t>
        </is>
      </c>
      <c r="E131" t="inlineStr">
        <is>
          <t>VALDEMARSVIK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19937-2024</t>
        </is>
      </c>
      <c r="B132" s="1" t="n">
        <v>45433.60840277778</v>
      </c>
      <c r="C132" s="1" t="n">
        <v>45887</v>
      </c>
      <c r="D132" t="inlineStr">
        <is>
          <t>ÖSTERGÖTLANDS LÄN</t>
        </is>
      </c>
      <c r="E132" t="inlineStr">
        <is>
          <t>VALDEMARSVIK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22974-2025</t>
        </is>
      </c>
      <c r="B133" s="1" t="n">
        <v>45790.56094907408</v>
      </c>
      <c r="C133" s="1" t="n">
        <v>45887</v>
      </c>
      <c r="D133" t="inlineStr">
        <is>
          <t>ÖSTERGÖTLANDS LÄN</t>
        </is>
      </c>
      <c r="E133" t="inlineStr">
        <is>
          <t>VALDEMARSVIK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15660-2024</t>
        </is>
      </c>
      <c r="B134" s="1" t="n">
        <v>45404.37293981481</v>
      </c>
      <c r="C134" s="1" t="n">
        <v>45887</v>
      </c>
      <c r="D134" t="inlineStr">
        <is>
          <t>ÖSTERGÖTLANDS LÄN</t>
        </is>
      </c>
      <c r="E134" t="inlineStr">
        <is>
          <t>VALDEMARSVIK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43516-2024</t>
        </is>
      </c>
      <c r="B135" s="1" t="n">
        <v>45569.32538194444</v>
      </c>
      <c r="C135" s="1" t="n">
        <v>45887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43518-2024</t>
        </is>
      </c>
      <c r="B136" s="1" t="n">
        <v>45569.32959490741</v>
      </c>
      <c r="C136" s="1" t="n">
        <v>45887</v>
      </c>
      <c r="D136" t="inlineStr">
        <is>
          <t>ÖSTERGÖTLANDS LÄN</t>
        </is>
      </c>
      <c r="E136" t="inlineStr">
        <is>
          <t>VALDEMARSVIK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48247-2024</t>
        </is>
      </c>
      <c r="B137" s="1" t="n">
        <v>45590.40115740741</v>
      </c>
      <c r="C137" s="1" t="n">
        <v>45887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23576-2025</t>
        </is>
      </c>
      <c r="B138" s="1" t="n">
        <v>45792.62280092593</v>
      </c>
      <c r="C138" s="1" t="n">
        <v>45887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1259-2025</t>
        </is>
      </c>
      <c r="B139" s="1" t="n">
        <v>45667.471875</v>
      </c>
      <c r="C139" s="1" t="n">
        <v>45887</v>
      </c>
      <c r="D139" t="inlineStr">
        <is>
          <t>ÖSTERGÖTLANDS LÄN</t>
        </is>
      </c>
      <c r="E139" t="inlineStr">
        <is>
          <t>VALDEMARSVIK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23811-2025</t>
        </is>
      </c>
      <c r="B140" s="1" t="n">
        <v>45793.57041666667</v>
      </c>
      <c r="C140" s="1" t="n">
        <v>45887</v>
      </c>
      <c r="D140" t="inlineStr">
        <is>
          <t>ÖSTERGÖTLANDS LÄN</t>
        </is>
      </c>
      <c r="E140" t="inlineStr">
        <is>
          <t>VALDEMARSVIK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23672-2025</t>
        </is>
      </c>
      <c r="B141" s="1" t="n">
        <v>45793.29298611111</v>
      </c>
      <c r="C141" s="1" t="n">
        <v>45887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6336-2025</t>
        </is>
      </c>
      <c r="B142" s="1" t="n">
        <v>45698.96422453703</v>
      </c>
      <c r="C142" s="1" t="n">
        <v>45887</v>
      </c>
      <c r="D142" t="inlineStr">
        <is>
          <t>ÖSTERGÖTLANDS LÄN</t>
        </is>
      </c>
      <c r="E142" t="inlineStr">
        <is>
          <t>VALDEMARSVIK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14417-2024</t>
        </is>
      </c>
      <c r="B143" s="1" t="n">
        <v>45394.42204861111</v>
      </c>
      <c r="C143" s="1" t="n">
        <v>45887</v>
      </c>
      <c r="D143" t="inlineStr">
        <is>
          <t>ÖSTERGÖTLANDS LÄN</t>
        </is>
      </c>
      <c r="E143" t="inlineStr">
        <is>
          <t>VALDEMARSVIK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23834-2025</t>
        </is>
      </c>
      <c r="B144" s="1" t="n">
        <v>45793.60377314815</v>
      </c>
      <c r="C144" s="1" t="n">
        <v>45887</v>
      </c>
      <c r="D144" t="inlineStr">
        <is>
          <t>ÖSTERGÖTLANDS LÄN</t>
        </is>
      </c>
      <c r="E144" t="inlineStr">
        <is>
          <t>VALDEMARSVIK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23673-2025</t>
        </is>
      </c>
      <c r="B145" s="1" t="n">
        <v>45793.29696759259</v>
      </c>
      <c r="C145" s="1" t="n">
        <v>45887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57144-2024</t>
        </is>
      </c>
      <c r="B146" s="1" t="n">
        <v>45629.38939814815</v>
      </c>
      <c r="C146" s="1" t="n">
        <v>45887</v>
      </c>
      <c r="D146" t="inlineStr">
        <is>
          <t>ÖSTERGÖTLANDS LÄN</t>
        </is>
      </c>
      <c r="E146" t="inlineStr">
        <is>
          <t>VALDEMARSVIK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23819-2025</t>
        </is>
      </c>
      <c r="B147" s="1" t="n">
        <v>45793.58547453704</v>
      </c>
      <c r="C147" s="1" t="n">
        <v>45887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17590-2023</t>
        </is>
      </c>
      <c r="B148" s="1" t="n">
        <v>45036</v>
      </c>
      <c r="C148" s="1" t="n">
        <v>45887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24375-2025</t>
        </is>
      </c>
      <c r="B149" s="1" t="n">
        <v>45797.61721064815</v>
      </c>
      <c r="C149" s="1" t="n">
        <v>45887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10184-2025</t>
        </is>
      </c>
      <c r="B150" s="1" t="n">
        <v>45719.6859375</v>
      </c>
      <c r="C150" s="1" t="n">
        <v>45887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45887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43500-2024</t>
        </is>
      </c>
      <c r="B152" s="1" t="n">
        <v>45569.29984953703</v>
      </c>
      <c r="C152" s="1" t="n">
        <v>45887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56830-2024</t>
        </is>
      </c>
      <c r="B153" s="1" t="n">
        <v>45628.4957175926</v>
      </c>
      <c r="C153" s="1" t="n">
        <v>45887</v>
      </c>
      <c r="D153" t="inlineStr">
        <is>
          <t>ÖSTERGÖTLANDS LÄN</t>
        </is>
      </c>
      <c r="E153" t="inlineStr">
        <is>
          <t>VALDEMARSVIK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56855-2024</t>
        </is>
      </c>
      <c r="B154" s="1" t="n">
        <v>45628.54432870371</v>
      </c>
      <c r="C154" s="1" t="n">
        <v>45887</v>
      </c>
      <c r="D154" t="inlineStr">
        <is>
          <t>ÖSTERGÖTLANDS LÄN</t>
        </is>
      </c>
      <c r="E154" t="inlineStr">
        <is>
          <t>VALDEMARSVIK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24371-2025</t>
        </is>
      </c>
      <c r="B155" s="1" t="n">
        <v>45797.60896990741</v>
      </c>
      <c r="C155" s="1" t="n">
        <v>45887</v>
      </c>
      <c r="D155" t="inlineStr">
        <is>
          <t>ÖSTERGÖTLANDS LÄN</t>
        </is>
      </c>
      <c r="E155" t="inlineStr">
        <is>
          <t>VALDEMARSVIK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49934-2024</t>
        </is>
      </c>
      <c r="B156" s="1" t="n">
        <v>45597.58349537037</v>
      </c>
      <c r="C156" s="1" t="n">
        <v>45887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2336-2024</t>
        </is>
      </c>
      <c r="B157" s="1" t="n">
        <v>45310.56167824074</v>
      </c>
      <c r="C157" s="1" t="n">
        <v>45887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35908-2023</t>
        </is>
      </c>
      <c r="B158" s="1" t="n">
        <v>45148.63856481481</v>
      </c>
      <c r="C158" s="1" t="n">
        <v>45887</v>
      </c>
      <c r="D158" t="inlineStr">
        <is>
          <t>ÖSTERGÖTLANDS LÄN</t>
        </is>
      </c>
      <c r="E158" t="inlineStr">
        <is>
          <t>VALDEMARSVIK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25087-2025</t>
        </is>
      </c>
      <c r="B159" s="1" t="n">
        <v>45800.29532407408</v>
      </c>
      <c r="C159" s="1" t="n">
        <v>45887</v>
      </c>
      <c r="D159" t="inlineStr">
        <is>
          <t>ÖSTERGÖTLANDS LÄN</t>
        </is>
      </c>
      <c r="E159" t="inlineStr">
        <is>
          <t>VALDEMARSVIK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25645-2025</t>
        </is>
      </c>
      <c r="B160" s="1" t="n">
        <v>45803.60685185185</v>
      </c>
      <c r="C160" s="1" t="n">
        <v>45887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40874-2023</t>
        </is>
      </c>
      <c r="B161" s="1" t="n">
        <v>45173.36244212963</v>
      </c>
      <c r="C161" s="1" t="n">
        <v>45887</v>
      </c>
      <c r="D161" t="inlineStr">
        <is>
          <t>ÖSTERGÖTLANDS LÄN</t>
        </is>
      </c>
      <c r="E161" t="inlineStr">
        <is>
          <t>VALDEMARSVIK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50442-2024</t>
        </is>
      </c>
      <c r="B162" s="1" t="n">
        <v>45601.42112268518</v>
      </c>
      <c r="C162" s="1" t="n">
        <v>45887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4027-2022</t>
        </is>
      </c>
      <c r="B163" s="1" t="n">
        <v>44587</v>
      </c>
      <c r="C163" s="1" t="n">
        <v>45887</v>
      </c>
      <c r="D163" t="inlineStr">
        <is>
          <t>ÖSTERGÖTLANDS LÄN</t>
        </is>
      </c>
      <c r="E163" t="inlineStr">
        <is>
          <t>VALDEMARSVIK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34312-2025</t>
        </is>
      </c>
      <c r="B164" s="1" t="n">
        <v>45846.3959375</v>
      </c>
      <c r="C164" s="1" t="n">
        <v>45887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41314-2023</t>
        </is>
      </c>
      <c r="B165" s="1" t="n">
        <v>45173</v>
      </c>
      <c r="C165" s="1" t="n">
        <v>45887</v>
      </c>
      <c r="D165" t="inlineStr">
        <is>
          <t>ÖSTERGÖTLANDS LÄN</t>
        </is>
      </c>
      <c r="E165" t="inlineStr">
        <is>
          <t>VALDEMARSVIK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1974-2022</t>
        </is>
      </c>
      <c r="B166" s="1" t="n">
        <v>44575</v>
      </c>
      <c r="C166" s="1" t="n">
        <v>45887</v>
      </c>
      <c r="D166" t="inlineStr">
        <is>
          <t>ÖSTERGÖTLANDS LÄN</t>
        </is>
      </c>
      <c r="E166" t="inlineStr">
        <is>
          <t>VALDEMARSVIK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3894-2022</t>
        </is>
      </c>
      <c r="B167" s="1" t="n">
        <v>44587</v>
      </c>
      <c r="C167" s="1" t="n">
        <v>45887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14950-2025</t>
        </is>
      </c>
      <c r="B168" s="1" t="n">
        <v>45743.5756712963</v>
      </c>
      <c r="C168" s="1" t="n">
        <v>45887</v>
      </c>
      <c r="D168" t="inlineStr">
        <is>
          <t>ÖSTERGÖTLANDS LÄN</t>
        </is>
      </c>
      <c r="E168" t="inlineStr">
        <is>
          <t>VALDEMARSVIK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54765-2022</t>
        </is>
      </c>
      <c r="B169" s="1" t="n">
        <v>44883.62292824074</v>
      </c>
      <c r="C169" s="1" t="n">
        <v>45887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39503-2020</t>
        </is>
      </c>
      <c r="B170" s="1" t="n">
        <v>44064</v>
      </c>
      <c r="C170" s="1" t="n">
        <v>45887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65113-2023</t>
        </is>
      </c>
      <c r="B171" s="1" t="n">
        <v>45287</v>
      </c>
      <c r="C171" s="1" t="n">
        <v>45887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60288-2023</t>
        </is>
      </c>
      <c r="B172" s="1" t="n">
        <v>45258.70559027778</v>
      </c>
      <c r="C172" s="1" t="n">
        <v>45887</v>
      </c>
      <c r="D172" t="inlineStr">
        <is>
          <t>ÖSTERGÖTLANDS LÄN</t>
        </is>
      </c>
      <c r="E172" t="inlineStr">
        <is>
          <t>VALDEMARSVIK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39517-2023</t>
        </is>
      </c>
      <c r="B173" s="1" t="n">
        <v>45167</v>
      </c>
      <c r="C173" s="1" t="n">
        <v>45887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1423-2022</t>
        </is>
      </c>
      <c r="B174" s="1" t="n">
        <v>44573</v>
      </c>
      <c r="C174" s="1" t="n">
        <v>45887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1284-2025</t>
        </is>
      </c>
      <c r="B175" s="1" t="n">
        <v>45667.50155092592</v>
      </c>
      <c r="C175" s="1" t="n">
        <v>45887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1320-2025</t>
        </is>
      </c>
      <c r="B176" s="1" t="n">
        <v>45667.56914351852</v>
      </c>
      <c r="C176" s="1" t="n">
        <v>45887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56859-2024</t>
        </is>
      </c>
      <c r="B177" s="1" t="n">
        <v>45628.54787037037</v>
      </c>
      <c r="C177" s="1" t="n">
        <v>45887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47679-2024</t>
        </is>
      </c>
      <c r="B178" s="1" t="n">
        <v>45588.41420138889</v>
      </c>
      <c r="C178" s="1" t="n">
        <v>45887</v>
      </c>
      <c r="D178" t="inlineStr">
        <is>
          <t>ÖSTERGÖTLANDS LÄN</t>
        </is>
      </c>
      <c r="E178" t="inlineStr">
        <is>
          <t>VALDEMARSVIK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47959-2023</t>
        </is>
      </c>
      <c r="B179" s="1" t="n">
        <v>45204.59734953703</v>
      </c>
      <c r="C179" s="1" t="n">
        <v>45887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43225-2022</t>
        </is>
      </c>
      <c r="B180" s="1" t="n">
        <v>44833</v>
      </c>
      <c r="C180" s="1" t="n">
        <v>45887</v>
      </c>
      <c r="D180" t="inlineStr">
        <is>
          <t>ÖSTERGÖTLANDS LÄN</t>
        </is>
      </c>
      <c r="E180" t="inlineStr">
        <is>
          <t>VALDEMARSVIK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49345-2023</t>
        </is>
      </c>
      <c r="B181" s="1" t="n">
        <v>45211.3163425926</v>
      </c>
      <c r="C181" s="1" t="n">
        <v>45887</v>
      </c>
      <c r="D181" t="inlineStr">
        <is>
          <t>ÖSTERGÖTLANDS LÄN</t>
        </is>
      </c>
      <c r="E181" t="inlineStr">
        <is>
          <t>VALDEMARSVIK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49348-2023</t>
        </is>
      </c>
      <c r="B182" s="1" t="n">
        <v>45211</v>
      </c>
      <c r="C182" s="1" t="n">
        <v>45887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45873-2023</t>
        </is>
      </c>
      <c r="B183" s="1" t="n">
        <v>45195.63581018519</v>
      </c>
      <c r="C183" s="1" t="n">
        <v>45887</v>
      </c>
      <c r="D183" t="inlineStr">
        <is>
          <t>ÖSTERGÖTLANDS LÄN</t>
        </is>
      </c>
      <c r="E183" t="inlineStr">
        <is>
          <t>VALDEMARSVIK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45482-2020</t>
        </is>
      </c>
      <c r="B184" s="1" t="n">
        <v>44089</v>
      </c>
      <c r="C184" s="1" t="n">
        <v>45887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24972-2022</t>
        </is>
      </c>
      <c r="B185" s="1" t="n">
        <v>44728</v>
      </c>
      <c r="C185" s="1" t="n">
        <v>45887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252-2023</t>
        </is>
      </c>
      <c r="B186" s="1" t="n">
        <v>44922</v>
      </c>
      <c r="C186" s="1" t="n">
        <v>45887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24234-2022</t>
        </is>
      </c>
      <c r="B187" s="1" t="n">
        <v>44725</v>
      </c>
      <c r="C187" s="1" t="n">
        <v>45887</v>
      </c>
      <c r="D187" t="inlineStr">
        <is>
          <t>ÖSTERGÖTLANDS LÄN</t>
        </is>
      </c>
      <c r="E187" t="inlineStr">
        <is>
          <t>VALDEMARSVIK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43151-2023</t>
        </is>
      </c>
      <c r="B188" s="1" t="n">
        <v>45183.32618055555</v>
      </c>
      <c r="C188" s="1" t="n">
        <v>45887</v>
      </c>
      <c r="D188" t="inlineStr">
        <is>
          <t>ÖSTERGÖTLANDS LÄN</t>
        </is>
      </c>
      <c r="E188" t="inlineStr">
        <is>
          <t>VALDEMARSVIK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62048-2022</t>
        </is>
      </c>
      <c r="B189" s="1" t="n">
        <v>44918.57138888889</v>
      </c>
      <c r="C189" s="1" t="n">
        <v>45887</v>
      </c>
      <c r="D189" t="inlineStr">
        <is>
          <t>ÖSTERGÖTLANDS LÄN</t>
        </is>
      </c>
      <c r="E189" t="inlineStr">
        <is>
          <t>VALDEMARSVIK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45377-2023</t>
        </is>
      </c>
      <c r="B190" s="1" t="n">
        <v>45193</v>
      </c>
      <c r="C190" s="1" t="n">
        <v>45887</v>
      </c>
      <c r="D190" t="inlineStr">
        <is>
          <t>ÖSTERGÖTLANDS LÄN</t>
        </is>
      </c>
      <c r="E190" t="inlineStr">
        <is>
          <t>VALDEMARSVIK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21511-2025</t>
        </is>
      </c>
      <c r="B191" s="1" t="n">
        <v>45782</v>
      </c>
      <c r="C191" s="1" t="n">
        <v>45887</v>
      </c>
      <c r="D191" t="inlineStr">
        <is>
          <t>ÖSTERGÖTLANDS LÄN</t>
        </is>
      </c>
      <c r="E191" t="inlineStr">
        <is>
          <t>VALDEMARSVIK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28213-2025</t>
        </is>
      </c>
      <c r="B192" s="1" t="n">
        <v>45818.46033564815</v>
      </c>
      <c r="C192" s="1" t="n">
        <v>45887</v>
      </c>
      <c r="D192" t="inlineStr">
        <is>
          <t>ÖSTERGÖTLANDS LÄN</t>
        </is>
      </c>
      <c r="E192" t="inlineStr">
        <is>
          <t>VALDEMARSVIK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57864-2022</t>
        </is>
      </c>
      <c r="B193" s="1" t="n">
        <v>44899.50475694444</v>
      </c>
      <c r="C193" s="1" t="n">
        <v>45887</v>
      </c>
      <c r="D193" t="inlineStr">
        <is>
          <t>ÖSTERGÖTLANDS LÄN</t>
        </is>
      </c>
      <c r="E193" t="inlineStr">
        <is>
          <t>VALDEMARSVIK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55620-2023</t>
        </is>
      </c>
      <c r="B194" s="1" t="n">
        <v>45238.85070601852</v>
      </c>
      <c r="C194" s="1" t="n">
        <v>45887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7582-2023</t>
        </is>
      </c>
      <c r="B195" s="1" t="n">
        <v>44972</v>
      </c>
      <c r="C195" s="1" t="n">
        <v>45887</v>
      </c>
      <c r="D195" t="inlineStr">
        <is>
          <t>ÖSTERGÖTLANDS LÄN</t>
        </is>
      </c>
      <c r="E195" t="inlineStr">
        <is>
          <t>VALDEMARSVIK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12707-2025</t>
        </is>
      </c>
      <c r="B196" s="1" t="n">
        <v>45733</v>
      </c>
      <c r="C196" s="1" t="n">
        <v>45887</v>
      </c>
      <c r="D196" t="inlineStr">
        <is>
          <t>ÖSTERGÖTLANDS LÄN</t>
        </is>
      </c>
      <c r="E196" t="inlineStr">
        <is>
          <t>VALDEMARSVIK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14213-2025</t>
        </is>
      </c>
      <c r="B197" s="1" t="n">
        <v>45740</v>
      </c>
      <c r="C197" s="1" t="n">
        <v>45887</v>
      </c>
      <c r="D197" t="inlineStr">
        <is>
          <t>ÖSTERGÖTLANDS LÄN</t>
        </is>
      </c>
      <c r="E197" t="inlineStr">
        <is>
          <t>VALDEMARSVIK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HYPERLINK("https://klasma.github.io/Logging_0563/knärot/A 14213-2025 karta knärot.png", "A 14213-2025")</f>
        <v/>
      </c>
      <c r="V197">
        <f>HYPERLINK("https://klasma.github.io/Logging_0563/klagomål/A 14213-2025 FSC-klagomål.docx", "A 14213-2025")</f>
        <v/>
      </c>
      <c r="W197">
        <f>HYPERLINK("https://klasma.github.io/Logging_0563/klagomålsmail/A 14213-2025 FSC-klagomål mail.docx", "A 14213-2025")</f>
        <v/>
      </c>
      <c r="X197">
        <f>HYPERLINK("https://klasma.github.io/Logging_0563/tillsyn/A 14213-2025 tillsynsbegäran.docx", "A 14213-2025")</f>
        <v/>
      </c>
      <c r="Y197">
        <f>HYPERLINK("https://klasma.github.io/Logging_0563/tillsynsmail/A 14213-2025 tillsynsbegäran mail.docx", "A 14213-2025")</f>
        <v/>
      </c>
    </row>
    <row r="198" ht="15" customHeight="1">
      <c r="A198" t="inlineStr">
        <is>
          <t>A 4742-2022</t>
        </is>
      </c>
      <c r="B198" s="1" t="n">
        <v>44592.57141203704</v>
      </c>
      <c r="C198" s="1" t="n">
        <v>45887</v>
      </c>
      <c r="D198" t="inlineStr">
        <is>
          <t>ÖSTERGÖTLANDS LÄN</t>
        </is>
      </c>
      <c r="E198" t="inlineStr">
        <is>
          <t>VALDEMARSVIK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48243-2024</t>
        </is>
      </c>
      <c r="B199" s="1" t="n">
        <v>45590.39403935185</v>
      </c>
      <c r="C199" s="1" t="n">
        <v>45887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44559-2023</t>
        </is>
      </c>
      <c r="B200" s="1" t="n">
        <v>45183</v>
      </c>
      <c r="C200" s="1" t="n">
        <v>45887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44565-2023</t>
        </is>
      </c>
      <c r="B201" s="1" t="n">
        <v>45183</v>
      </c>
      <c r="C201" s="1" t="n">
        <v>45887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46184-2024</t>
        </is>
      </c>
      <c r="B202" s="1" t="n">
        <v>45581</v>
      </c>
      <c r="C202" s="1" t="n">
        <v>45887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28997-2022</t>
        </is>
      </c>
      <c r="B203" s="1" t="n">
        <v>44749</v>
      </c>
      <c r="C203" s="1" t="n">
        <v>45887</v>
      </c>
      <c r="D203" t="inlineStr">
        <is>
          <t>ÖSTERGÖTLANDS LÄN</t>
        </is>
      </c>
      <c r="E203" t="inlineStr">
        <is>
          <t>VALDEMARSVIK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40434-2021</t>
        </is>
      </c>
      <c r="B204" s="1" t="n">
        <v>44419</v>
      </c>
      <c r="C204" s="1" t="n">
        <v>45887</v>
      </c>
      <c r="D204" t="inlineStr">
        <is>
          <t>ÖSTERGÖTLANDS LÄN</t>
        </is>
      </c>
      <c r="E204" t="inlineStr">
        <is>
          <t>VALDEMARSVIK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10135-2025</t>
        </is>
      </c>
      <c r="B205" s="1" t="n">
        <v>45719.61589120371</v>
      </c>
      <c r="C205" s="1" t="n">
        <v>45887</v>
      </c>
      <c r="D205" t="inlineStr">
        <is>
          <t>ÖSTERGÖTLANDS LÄN</t>
        </is>
      </c>
      <c r="E205" t="inlineStr">
        <is>
          <t>VALDEMARSVIK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54849-2023</t>
        </is>
      </c>
      <c r="B206" s="1" t="n">
        <v>45236.58795138889</v>
      </c>
      <c r="C206" s="1" t="n">
        <v>45887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9337-2022</t>
        </is>
      </c>
      <c r="B207" s="1" t="n">
        <v>44616.56741898148</v>
      </c>
      <c r="C207" s="1" t="n">
        <v>45887</v>
      </c>
      <c r="D207" t="inlineStr">
        <is>
          <t>ÖSTERGÖTLANDS LÄN</t>
        </is>
      </c>
      <c r="E207" t="inlineStr">
        <is>
          <t>VALDEMARSVIK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14637-2025</t>
        </is>
      </c>
      <c r="B208" s="1" t="n">
        <v>45742.44043981482</v>
      </c>
      <c r="C208" s="1" t="n">
        <v>45887</v>
      </c>
      <c r="D208" t="inlineStr">
        <is>
          <t>ÖSTERGÖTLANDS LÄN</t>
        </is>
      </c>
      <c r="E208" t="inlineStr">
        <is>
          <t>VALDEMARSVIK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4148-2024</t>
        </is>
      </c>
      <c r="B209" s="1" t="n">
        <v>45323</v>
      </c>
      <c r="C209" s="1" t="n">
        <v>45887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38438-2024</t>
        </is>
      </c>
      <c r="B210" s="1" t="n">
        <v>45546.42262731482</v>
      </c>
      <c r="C210" s="1" t="n">
        <v>45887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50041-2023</t>
        </is>
      </c>
      <c r="B211" s="1" t="n">
        <v>45215.49336805556</v>
      </c>
      <c r="C211" s="1" t="n">
        <v>45887</v>
      </c>
      <c r="D211" t="inlineStr">
        <is>
          <t>ÖSTERGÖTLANDS LÄN</t>
        </is>
      </c>
      <c r="E211" t="inlineStr">
        <is>
          <t>VALDEMARSVIK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42401-2022</t>
        </is>
      </c>
      <c r="B212" s="1" t="n">
        <v>44830</v>
      </c>
      <c r="C212" s="1" t="n">
        <v>45887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16184-2025</t>
        </is>
      </c>
      <c r="B213" s="1" t="n">
        <v>45750.58451388889</v>
      </c>
      <c r="C213" s="1" t="n">
        <v>45887</v>
      </c>
      <c r="D213" t="inlineStr">
        <is>
          <t>ÖSTERGÖTLANDS LÄN</t>
        </is>
      </c>
      <c r="E213" t="inlineStr">
        <is>
          <t>VALDEMARSVIK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43363-2024</t>
        </is>
      </c>
      <c r="B214" s="1" t="n">
        <v>45568</v>
      </c>
      <c r="C214" s="1" t="n">
        <v>45887</v>
      </c>
      <c r="D214" t="inlineStr">
        <is>
          <t>ÖSTERGÖTLANDS LÄN</t>
        </is>
      </c>
      <c r="E214" t="inlineStr">
        <is>
          <t>VALDEMARSVIK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34357-2023</t>
        </is>
      </c>
      <c r="B215" s="1" t="n">
        <v>45133</v>
      </c>
      <c r="C215" s="1" t="n">
        <v>45887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65727-2020</t>
        </is>
      </c>
      <c r="B216" s="1" t="n">
        <v>44174</v>
      </c>
      <c r="C216" s="1" t="n">
        <v>45887</v>
      </c>
      <c r="D216" t="inlineStr">
        <is>
          <t>ÖSTERGÖTLANDS LÄN</t>
        </is>
      </c>
      <c r="E216" t="inlineStr">
        <is>
          <t>VALDEMARSVIK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8143-2023</t>
        </is>
      </c>
      <c r="B217" s="1" t="n">
        <v>44974</v>
      </c>
      <c r="C217" s="1" t="n">
        <v>45887</v>
      </c>
      <c r="D217" t="inlineStr">
        <is>
          <t>ÖSTERGÖTLANDS LÄN</t>
        </is>
      </c>
      <c r="E217" t="inlineStr">
        <is>
          <t>VALDEMARSVIK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66182-2020</t>
        </is>
      </c>
      <c r="B218" s="1" t="n">
        <v>44174</v>
      </c>
      <c r="C218" s="1" t="n">
        <v>45887</v>
      </c>
      <c r="D218" t="inlineStr">
        <is>
          <t>ÖSTERGÖTLANDS LÄN</t>
        </is>
      </c>
      <c r="E218" t="inlineStr">
        <is>
          <t>VALDEMARSVIK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19745-2024</t>
        </is>
      </c>
      <c r="B219" s="1" t="n">
        <v>45432.65179398148</v>
      </c>
      <c r="C219" s="1" t="n">
        <v>45887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65720-2020</t>
        </is>
      </c>
      <c r="B220" s="1" t="n">
        <v>44172</v>
      </c>
      <c r="C220" s="1" t="n">
        <v>45887</v>
      </c>
      <c r="D220" t="inlineStr">
        <is>
          <t>ÖSTERGÖTLANDS LÄN</t>
        </is>
      </c>
      <c r="E220" t="inlineStr">
        <is>
          <t>VALDEMARSVIK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17711-2025</t>
        </is>
      </c>
      <c r="B221" s="1" t="n">
        <v>45758.44194444444</v>
      </c>
      <c r="C221" s="1" t="n">
        <v>45887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8179-2025</t>
        </is>
      </c>
      <c r="B222" s="1" t="n">
        <v>45708.39165509259</v>
      </c>
      <c r="C222" s="1" t="n">
        <v>45887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14082-2023</t>
        </is>
      </c>
      <c r="B223" s="1" t="n">
        <v>45009</v>
      </c>
      <c r="C223" s="1" t="n">
        <v>45887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2355-2023</t>
        </is>
      </c>
      <c r="B224" s="1" t="n">
        <v>44942</v>
      </c>
      <c r="C224" s="1" t="n">
        <v>45887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38431-2024</t>
        </is>
      </c>
      <c r="B225" s="1" t="n">
        <v>45546.39056712963</v>
      </c>
      <c r="C225" s="1" t="n">
        <v>45887</v>
      </c>
      <c r="D225" t="inlineStr">
        <is>
          <t>ÖSTERGÖTLANDS LÄN</t>
        </is>
      </c>
      <c r="E225" t="inlineStr">
        <is>
          <t>VALDEMARSVIK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37237-2025</t>
        </is>
      </c>
      <c r="B226" s="1" t="n">
        <v>45876</v>
      </c>
      <c r="C226" s="1" t="n">
        <v>45887</v>
      </c>
      <c r="D226" t="inlineStr">
        <is>
          <t>ÖSTERGÖTLANDS LÄN</t>
        </is>
      </c>
      <c r="E226" t="inlineStr">
        <is>
          <t>VALDEMARSVIK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4856-2023</t>
        </is>
      </c>
      <c r="B227" s="1" t="n">
        <v>44957</v>
      </c>
      <c r="C227" s="1" t="n">
        <v>45887</v>
      </c>
      <c r="D227" t="inlineStr">
        <is>
          <t>ÖSTERGÖTLANDS LÄN</t>
        </is>
      </c>
      <c r="E227" t="inlineStr">
        <is>
          <t>VALDEMARSVIK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45783-2023</t>
        </is>
      </c>
      <c r="B228" s="1" t="n">
        <v>45195</v>
      </c>
      <c r="C228" s="1" t="n">
        <v>45887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40728-2023</t>
        </is>
      </c>
      <c r="B229" s="1" t="n">
        <v>45170</v>
      </c>
      <c r="C229" s="1" t="n">
        <v>45887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33283-2025</t>
        </is>
      </c>
      <c r="B230" s="1" t="n">
        <v>45840.71472222222</v>
      </c>
      <c r="C230" s="1" t="n">
        <v>45887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49931-2024</t>
        </is>
      </c>
      <c r="B231" s="1" t="n">
        <v>45597.58015046296</v>
      </c>
      <c r="C231" s="1" t="n">
        <v>45887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7254-2023</t>
        </is>
      </c>
      <c r="B232" s="1" t="n">
        <v>44970</v>
      </c>
      <c r="C232" s="1" t="n">
        <v>45887</v>
      </c>
      <c r="D232" t="inlineStr">
        <is>
          <t>ÖSTERGÖTLANDS LÄN</t>
        </is>
      </c>
      <c r="E232" t="inlineStr">
        <is>
          <t>VALDEMARSVIK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7266-2023</t>
        </is>
      </c>
      <c r="B233" s="1" t="n">
        <v>44970</v>
      </c>
      <c r="C233" s="1" t="n">
        <v>45887</v>
      </c>
      <c r="D233" t="inlineStr">
        <is>
          <t>ÖSTERGÖTLANDS LÄN</t>
        </is>
      </c>
      <c r="E233" t="inlineStr">
        <is>
          <t>VALDEMARSVIK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58262-2022</t>
        </is>
      </c>
      <c r="B234" s="1" t="n">
        <v>44894</v>
      </c>
      <c r="C234" s="1" t="n">
        <v>45887</v>
      </c>
      <c r="D234" t="inlineStr">
        <is>
          <t>ÖSTERGÖTLANDS LÄN</t>
        </is>
      </c>
      <c r="E234" t="inlineStr">
        <is>
          <t>VALDEMARSVIK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54360-2020</t>
        </is>
      </c>
      <c r="B235" s="1" t="n">
        <v>44126</v>
      </c>
      <c r="C235" s="1" t="n">
        <v>45887</v>
      </c>
      <c r="D235" t="inlineStr">
        <is>
          <t>ÖSTERGÖTLANDS LÄN</t>
        </is>
      </c>
      <c r="E235" t="inlineStr">
        <is>
          <t>VALDEMARSVIK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57680-2022</t>
        </is>
      </c>
      <c r="B236" s="1" t="n">
        <v>44897</v>
      </c>
      <c r="C236" s="1" t="n">
        <v>45887</v>
      </c>
      <c r="D236" t="inlineStr">
        <is>
          <t>ÖSTERGÖTLANDS LÄN</t>
        </is>
      </c>
      <c r="E236" t="inlineStr">
        <is>
          <t>VALDEMARSVIK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67525-2020</t>
        </is>
      </c>
      <c r="B237" s="1" t="n">
        <v>44181</v>
      </c>
      <c r="C237" s="1" t="n">
        <v>45887</v>
      </c>
      <c r="D237" t="inlineStr">
        <is>
          <t>ÖSTERGÖTLANDS LÄN</t>
        </is>
      </c>
      <c r="E237" t="inlineStr">
        <is>
          <t>VALDEMARSVIK</t>
        </is>
      </c>
      <c r="G237" t="n">
        <v>20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21399-2023</t>
        </is>
      </c>
      <c r="B238" s="1" t="n">
        <v>45063.3709375</v>
      </c>
      <c r="C238" s="1" t="n">
        <v>45887</v>
      </c>
      <c r="D238" t="inlineStr">
        <is>
          <t>ÖSTERGÖTLANDS LÄN</t>
        </is>
      </c>
      <c r="E238" t="inlineStr">
        <is>
          <t>VALDEMARSVIK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31862-2022</t>
        </is>
      </c>
      <c r="B239" s="1" t="n">
        <v>44777</v>
      </c>
      <c r="C239" s="1" t="n">
        <v>45887</v>
      </c>
      <c r="D239" t="inlineStr">
        <is>
          <t>ÖSTERGÖTLANDS LÄN</t>
        </is>
      </c>
      <c r="E239" t="inlineStr">
        <is>
          <t>VALDEMARSVIK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1543-2022</t>
        </is>
      </c>
      <c r="B240" s="1" t="n">
        <v>44573</v>
      </c>
      <c r="C240" s="1" t="n">
        <v>45887</v>
      </c>
      <c r="D240" t="inlineStr">
        <is>
          <t>ÖSTERGÖTLANDS LÄN</t>
        </is>
      </c>
      <c r="E240" t="inlineStr">
        <is>
          <t>VALDEMARSVIK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6022-2024</t>
        </is>
      </c>
      <c r="B241" s="1" t="n">
        <v>45336.62203703704</v>
      </c>
      <c r="C241" s="1" t="n">
        <v>45887</v>
      </c>
      <c r="D241" t="inlineStr">
        <is>
          <t>ÖSTERGÖTLANDS LÄN</t>
        </is>
      </c>
      <c r="E241" t="inlineStr">
        <is>
          <t>VALDEMARSVIK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50606-2024</t>
        </is>
      </c>
      <c r="B242" s="1" t="n">
        <v>45601.62434027778</v>
      </c>
      <c r="C242" s="1" t="n">
        <v>45887</v>
      </c>
      <c r="D242" t="inlineStr">
        <is>
          <t>ÖSTERGÖTLANDS LÄN</t>
        </is>
      </c>
      <c r="E242" t="inlineStr">
        <is>
          <t>VALDEMARSVIK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47219-2022</t>
        </is>
      </c>
      <c r="B243" s="1" t="n">
        <v>44852</v>
      </c>
      <c r="C243" s="1" t="n">
        <v>45887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52223-2021</t>
        </is>
      </c>
      <c r="B244" s="1" t="n">
        <v>44463</v>
      </c>
      <c r="C244" s="1" t="n">
        <v>45887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Övriga Aktiebolag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24878-2023</t>
        </is>
      </c>
      <c r="B245" s="1" t="n">
        <v>45085.4334837963</v>
      </c>
      <c r="C245" s="1" t="n">
        <v>45887</v>
      </c>
      <c r="D245" t="inlineStr">
        <is>
          <t>ÖSTERGÖTLANDS LÄN</t>
        </is>
      </c>
      <c r="E245" t="inlineStr">
        <is>
          <t>VALDEMARSVIK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17585-2023</t>
        </is>
      </c>
      <c r="B246" s="1" t="n">
        <v>45036</v>
      </c>
      <c r="C246" s="1" t="n">
        <v>45887</v>
      </c>
      <c r="D246" t="inlineStr">
        <is>
          <t>ÖSTERGÖTLANDS LÄN</t>
        </is>
      </c>
      <c r="E246" t="inlineStr">
        <is>
          <t>VALDEMARSVIK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8685-2022</t>
        </is>
      </c>
      <c r="B247" s="1" t="n">
        <v>44613.69353009259</v>
      </c>
      <c r="C247" s="1" t="n">
        <v>45887</v>
      </c>
      <c r="D247" t="inlineStr">
        <is>
          <t>ÖSTERGÖTLANDS LÄN</t>
        </is>
      </c>
      <c r="E247" t="inlineStr">
        <is>
          <t>VALDEMARSVIK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59741-2023</t>
        </is>
      </c>
      <c r="B248" s="1" t="n">
        <v>45257</v>
      </c>
      <c r="C248" s="1" t="n">
        <v>45887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49303-2021</t>
        </is>
      </c>
      <c r="B249" s="1" t="n">
        <v>44454</v>
      </c>
      <c r="C249" s="1" t="n">
        <v>45887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26821-2023</t>
        </is>
      </c>
      <c r="B250" s="1" t="n">
        <v>45093</v>
      </c>
      <c r="C250" s="1" t="n">
        <v>45887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56303-2024</t>
        </is>
      </c>
      <c r="B251" s="1" t="n">
        <v>45624.6911574074</v>
      </c>
      <c r="C251" s="1" t="n">
        <v>45887</v>
      </c>
      <c r="D251" t="inlineStr">
        <is>
          <t>ÖSTERGÖTLANDS LÄN</t>
        </is>
      </c>
      <c r="E251" t="inlineStr">
        <is>
          <t>VALDEMARSVIK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4047-2023</t>
        </is>
      </c>
      <c r="B252" s="1" t="n">
        <v>44952</v>
      </c>
      <c r="C252" s="1" t="n">
        <v>45887</v>
      </c>
      <c r="D252" t="inlineStr">
        <is>
          <t>ÖSTERGÖTLANDS LÄN</t>
        </is>
      </c>
      <c r="E252" t="inlineStr">
        <is>
          <t>VALDEMARSVIK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39965-2021</t>
        </is>
      </c>
      <c r="B253" s="1" t="n">
        <v>44417</v>
      </c>
      <c r="C253" s="1" t="n">
        <v>45887</v>
      </c>
      <c r="D253" t="inlineStr">
        <is>
          <t>ÖSTERGÖTLANDS LÄN</t>
        </is>
      </c>
      <c r="E253" t="inlineStr">
        <is>
          <t>VALDEMARSVIK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58979-2022</t>
        </is>
      </c>
      <c r="B254" s="1" t="n">
        <v>44903</v>
      </c>
      <c r="C254" s="1" t="n">
        <v>45887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3267-2023</t>
        </is>
      </c>
      <c r="B255" s="1" t="n">
        <v>44949</v>
      </c>
      <c r="C255" s="1" t="n">
        <v>45887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33901-2021</t>
        </is>
      </c>
      <c r="B256" s="1" t="n">
        <v>44378.65817129629</v>
      </c>
      <c r="C256" s="1" t="n">
        <v>45887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3276-2023</t>
        </is>
      </c>
      <c r="B257" s="1" t="n">
        <v>44949.34574074074</v>
      </c>
      <c r="C257" s="1" t="n">
        <v>45887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53786-2021</t>
        </is>
      </c>
      <c r="B258" s="1" t="n">
        <v>44463</v>
      </c>
      <c r="C258" s="1" t="n">
        <v>45887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4331-2023</t>
        </is>
      </c>
      <c r="B259" s="1" t="n">
        <v>44953</v>
      </c>
      <c r="C259" s="1" t="n">
        <v>45887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66424-2021</t>
        </is>
      </c>
      <c r="B260" s="1" t="n">
        <v>44518</v>
      </c>
      <c r="C260" s="1" t="n">
        <v>45887</v>
      </c>
      <c r="D260" t="inlineStr">
        <is>
          <t>ÖSTERGÖTLANDS LÄN</t>
        </is>
      </c>
      <c r="E260" t="inlineStr">
        <is>
          <t>VALDEMARSVIK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29424-2022</t>
        </is>
      </c>
      <c r="B261" s="1" t="n">
        <v>44753</v>
      </c>
      <c r="C261" s="1" t="n">
        <v>45887</v>
      </c>
      <c r="D261" t="inlineStr">
        <is>
          <t>ÖSTERGÖTLANDS LÄN</t>
        </is>
      </c>
      <c r="E261" t="inlineStr">
        <is>
          <t>VALDEMARSVIK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1238-2025</t>
        </is>
      </c>
      <c r="B262" s="1" t="n">
        <v>45667.45136574074</v>
      </c>
      <c r="C262" s="1" t="n">
        <v>45887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53785-2021</t>
        </is>
      </c>
      <c r="B263" s="1" t="n">
        <v>44463</v>
      </c>
      <c r="C263" s="1" t="n">
        <v>45887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19925-2024</t>
        </is>
      </c>
      <c r="B264" s="1" t="n">
        <v>45433.5965625</v>
      </c>
      <c r="C264" s="1" t="n">
        <v>45887</v>
      </c>
      <c r="D264" t="inlineStr">
        <is>
          <t>ÖSTERGÖTLANDS LÄN</t>
        </is>
      </c>
      <c r="E264" t="inlineStr">
        <is>
          <t>VALDEMARSVIK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15541-2023</t>
        </is>
      </c>
      <c r="B265" s="1" t="n">
        <v>45020.56628472222</v>
      </c>
      <c r="C265" s="1" t="n">
        <v>45887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34572-2024</t>
        </is>
      </c>
      <c r="B266" s="1" t="n">
        <v>45526.35109953704</v>
      </c>
      <c r="C266" s="1" t="n">
        <v>45887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23827-2022</t>
        </is>
      </c>
      <c r="B267" s="1" t="n">
        <v>44722</v>
      </c>
      <c r="C267" s="1" t="n">
        <v>45887</v>
      </c>
      <c r="D267" t="inlineStr">
        <is>
          <t>ÖSTERGÖTLANDS LÄN</t>
        </is>
      </c>
      <c r="E267" t="inlineStr">
        <is>
          <t>VALDEMARSVIK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1330-2025</t>
        </is>
      </c>
      <c r="B268" s="1" t="n">
        <v>45667.57810185185</v>
      </c>
      <c r="C268" s="1" t="n">
        <v>45887</v>
      </c>
      <c r="D268" t="inlineStr">
        <is>
          <t>ÖSTERGÖTLANDS LÄN</t>
        </is>
      </c>
      <c r="E268" t="inlineStr">
        <is>
          <t>VALDEMARSVIK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21371-2021</t>
        </is>
      </c>
      <c r="B269" s="1" t="n">
        <v>44321</v>
      </c>
      <c r="C269" s="1" t="n">
        <v>45887</v>
      </c>
      <c r="D269" t="inlineStr">
        <is>
          <t>ÖSTERGÖTLANDS LÄN</t>
        </is>
      </c>
      <c r="E269" t="inlineStr">
        <is>
          <t>VALDEMARSVIK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4125-2025</t>
        </is>
      </c>
      <c r="B270" s="1" t="n">
        <v>45685.3190625</v>
      </c>
      <c r="C270" s="1" t="n">
        <v>45887</v>
      </c>
      <c r="D270" t="inlineStr">
        <is>
          <t>ÖSTERGÖTLANDS LÄN</t>
        </is>
      </c>
      <c r="E270" t="inlineStr">
        <is>
          <t>VALDEMARSVIK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4126-2025</t>
        </is>
      </c>
      <c r="B271" s="1" t="n">
        <v>45685.3234837963</v>
      </c>
      <c r="C271" s="1" t="n">
        <v>45887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17717-2025</t>
        </is>
      </c>
      <c r="B272" s="1" t="n">
        <v>45758.44706018519</v>
      </c>
      <c r="C272" s="1" t="n">
        <v>45887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14429-2022</t>
        </is>
      </c>
      <c r="B273" s="1" t="n">
        <v>44652.90847222223</v>
      </c>
      <c r="C273" s="1" t="n">
        <v>45887</v>
      </c>
      <c r="D273" t="inlineStr">
        <is>
          <t>ÖSTERGÖTLANDS LÄN</t>
        </is>
      </c>
      <c r="E273" t="inlineStr">
        <is>
          <t>VALDEMARSVIK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60080-2024</t>
        </is>
      </c>
      <c r="B274" s="1" t="n">
        <v>45639</v>
      </c>
      <c r="C274" s="1" t="n">
        <v>45887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17296-2023</t>
        </is>
      </c>
      <c r="B275" s="1" t="n">
        <v>45035</v>
      </c>
      <c r="C275" s="1" t="n">
        <v>45887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46186-2024</t>
        </is>
      </c>
      <c r="B276" s="1" t="n">
        <v>45581</v>
      </c>
      <c r="C276" s="1" t="n">
        <v>45887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46188-2024</t>
        </is>
      </c>
      <c r="B277" s="1" t="n">
        <v>45581</v>
      </c>
      <c r="C277" s="1" t="n">
        <v>45887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37524-2023</t>
        </is>
      </c>
      <c r="B278" s="1" t="n">
        <v>45158</v>
      </c>
      <c r="C278" s="1" t="n">
        <v>45887</v>
      </c>
      <c r="D278" t="inlineStr">
        <is>
          <t>ÖSTERGÖTLANDS LÄN</t>
        </is>
      </c>
      <c r="E278" t="inlineStr">
        <is>
          <t>VALDEMARSVIK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1315-2025</t>
        </is>
      </c>
      <c r="B279" s="1" t="n">
        <v>45667.56173611111</v>
      </c>
      <c r="C279" s="1" t="n">
        <v>45887</v>
      </c>
      <c r="D279" t="inlineStr">
        <is>
          <t>ÖSTERGÖTLANDS LÄN</t>
        </is>
      </c>
      <c r="E279" t="inlineStr">
        <is>
          <t>VALDEMARSVIK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44640-2023</t>
        </is>
      </c>
      <c r="B280" s="1" t="n">
        <v>45189</v>
      </c>
      <c r="C280" s="1" t="n">
        <v>45887</v>
      </c>
      <c r="D280" t="inlineStr">
        <is>
          <t>ÖSTERGÖTLANDS LÄN</t>
        </is>
      </c>
      <c r="E280" t="inlineStr">
        <is>
          <t>VALDEMARSVIK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6334-2025</t>
        </is>
      </c>
      <c r="B281" s="1" t="n">
        <v>45698.95604166666</v>
      </c>
      <c r="C281" s="1" t="n">
        <v>45887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6335-2025</t>
        </is>
      </c>
      <c r="B282" s="1" t="n">
        <v>45698.96091435185</v>
      </c>
      <c r="C282" s="1" t="n">
        <v>45887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21397-2023</t>
        </is>
      </c>
      <c r="B283" s="1" t="n">
        <v>45063.36952546296</v>
      </c>
      <c r="C283" s="1" t="n">
        <v>45887</v>
      </c>
      <c r="D283" t="inlineStr">
        <is>
          <t>ÖSTERGÖTLANDS LÄN</t>
        </is>
      </c>
      <c r="E283" t="inlineStr">
        <is>
          <t>VALDEMARSVIK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60285-2023</t>
        </is>
      </c>
      <c r="B284" s="1" t="n">
        <v>45258.70151620371</v>
      </c>
      <c r="C284" s="1" t="n">
        <v>45887</v>
      </c>
      <c r="D284" t="inlineStr">
        <is>
          <t>ÖSTERGÖTLANDS LÄN</t>
        </is>
      </c>
      <c r="E284" t="inlineStr">
        <is>
          <t>VALDEMARSVIK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45887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1272-2025</t>
        </is>
      </c>
      <c r="B286" s="1" t="n">
        <v>45667.48078703704</v>
      </c>
      <c r="C286" s="1" t="n">
        <v>45887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1280-2025</t>
        </is>
      </c>
      <c r="B287" s="1" t="n">
        <v>45667.49322916667</v>
      </c>
      <c r="C287" s="1" t="n">
        <v>45887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50609-2024</t>
        </is>
      </c>
      <c r="B288" s="1" t="n">
        <v>45601.62701388889</v>
      </c>
      <c r="C288" s="1" t="n">
        <v>45887</v>
      </c>
      <c r="D288" t="inlineStr">
        <is>
          <t>ÖSTERGÖTLANDS LÄN</t>
        </is>
      </c>
      <c r="E288" t="inlineStr">
        <is>
          <t>VALDEMARSVIK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10122-2025</t>
        </is>
      </c>
      <c r="B289" s="1" t="n">
        <v>45719.60188657408</v>
      </c>
      <c r="C289" s="1" t="n">
        <v>45887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9971-2023</t>
        </is>
      </c>
      <c r="B290" s="1" t="n">
        <v>44985</v>
      </c>
      <c r="C290" s="1" t="n">
        <v>45887</v>
      </c>
      <c r="D290" t="inlineStr">
        <is>
          <t>ÖSTERGÖTLANDS LÄN</t>
        </is>
      </c>
      <c r="E290" t="inlineStr">
        <is>
          <t>VALDEMARSVIK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17937-2023</t>
        </is>
      </c>
      <c r="B291" s="1" t="n">
        <v>45040</v>
      </c>
      <c r="C291" s="1" t="n">
        <v>45887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15779-2024</t>
        </is>
      </c>
      <c r="B292" s="1" t="n">
        <v>45404.60186342592</v>
      </c>
      <c r="C292" s="1" t="n">
        <v>45887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53111-2023</t>
        </is>
      </c>
      <c r="B293" s="1" t="n">
        <v>45228.75215277778</v>
      </c>
      <c r="C293" s="1" t="n">
        <v>45887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4321-2025</t>
        </is>
      </c>
      <c r="B294" s="1" t="n">
        <v>45685.7069212963</v>
      </c>
      <c r="C294" s="1" t="n">
        <v>45887</v>
      </c>
      <c r="D294" t="inlineStr">
        <is>
          <t>ÖSTERGÖTLANDS LÄN</t>
        </is>
      </c>
      <c r="E294" t="inlineStr">
        <is>
          <t>VALDEMARSVIK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9292-2023</t>
        </is>
      </c>
      <c r="B295" s="1" t="n">
        <v>44980</v>
      </c>
      <c r="C295" s="1" t="n">
        <v>45887</v>
      </c>
      <c r="D295" t="inlineStr">
        <is>
          <t>ÖSTERGÖTLANDS LÄN</t>
        </is>
      </c>
      <c r="E295" t="inlineStr">
        <is>
          <t>VALDEMARSVIK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19747-2024</t>
        </is>
      </c>
      <c r="B296" s="1" t="n">
        <v>45432.6571875</v>
      </c>
      <c r="C296" s="1" t="n">
        <v>45887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4627-2025</t>
        </is>
      </c>
      <c r="B297" s="1" t="n">
        <v>45687.62237268518</v>
      </c>
      <c r="C297" s="1" t="n">
        <v>45887</v>
      </c>
      <c r="D297" t="inlineStr">
        <is>
          <t>ÖSTERGÖTLANDS LÄN</t>
        </is>
      </c>
      <c r="E297" t="inlineStr">
        <is>
          <t>VALDEMARSVIK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14157-2025</t>
        </is>
      </c>
      <c r="B298" s="1" t="n">
        <v>45740.49797453704</v>
      </c>
      <c r="C298" s="1" t="n">
        <v>45887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18200-2025</t>
        </is>
      </c>
      <c r="B299" s="1" t="n">
        <v>45761.68189814815</v>
      </c>
      <c r="C299" s="1" t="n">
        <v>45887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18059-2025</t>
        </is>
      </c>
      <c r="B300" s="1" t="n">
        <v>45761.47806712963</v>
      </c>
      <c r="C300" s="1" t="n">
        <v>45887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6580-2025</t>
        </is>
      </c>
      <c r="B301" s="1" t="n">
        <v>45699.88890046296</v>
      </c>
      <c r="C301" s="1" t="n">
        <v>45887</v>
      </c>
      <c r="D301" t="inlineStr">
        <is>
          <t>ÖSTERGÖTLANDS LÄN</t>
        </is>
      </c>
      <c r="E301" t="inlineStr">
        <is>
          <t>VALDEMARSVIK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21483-2023</t>
        </is>
      </c>
      <c r="B302" s="1" t="n">
        <v>45063</v>
      </c>
      <c r="C302" s="1" t="n">
        <v>45887</v>
      </c>
      <c r="D302" t="inlineStr">
        <is>
          <t>ÖSTERGÖTLANDS LÄN</t>
        </is>
      </c>
      <c r="E302" t="inlineStr">
        <is>
          <t>VALDEMARSVIK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50148-2023</t>
        </is>
      </c>
      <c r="B303" s="1" t="n">
        <v>45215.67923611111</v>
      </c>
      <c r="C303" s="1" t="n">
        <v>45887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45887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6522-2025</t>
        </is>
      </c>
      <c r="B305" s="1" t="n">
        <v>45699</v>
      </c>
      <c r="C305" s="1" t="n">
        <v>45887</v>
      </c>
      <c r="D305" t="inlineStr">
        <is>
          <t>ÖSTERGÖTLANDS LÄN</t>
        </is>
      </c>
      <c r="E305" t="inlineStr">
        <is>
          <t>VALDEMARSVIK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47962-2023</t>
        </is>
      </c>
      <c r="B306" s="1" t="n">
        <v>45204.59921296296</v>
      </c>
      <c r="C306" s="1" t="n">
        <v>45887</v>
      </c>
      <c r="D306" t="inlineStr">
        <is>
          <t>ÖSTERGÖTLANDS LÄN</t>
        </is>
      </c>
      <c r="E306" t="inlineStr">
        <is>
          <t>VALDEMARSVIK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16342-2023</t>
        </is>
      </c>
      <c r="B307" s="1" t="n">
        <v>45028</v>
      </c>
      <c r="C307" s="1" t="n">
        <v>45887</v>
      </c>
      <c r="D307" t="inlineStr">
        <is>
          <t>ÖSTERGÖTLANDS LÄN</t>
        </is>
      </c>
      <c r="E307" t="inlineStr">
        <is>
          <t>VALDEMARSVIK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1397-2025</t>
        </is>
      </c>
      <c r="B308" s="1" t="n">
        <v>45667.69849537037</v>
      </c>
      <c r="C308" s="1" t="n">
        <v>45887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58105-2023</t>
        </is>
      </c>
      <c r="B309" s="1" t="n">
        <v>45249</v>
      </c>
      <c r="C309" s="1" t="n">
        <v>45887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60242-2022</t>
        </is>
      </c>
      <c r="B310" s="1" t="n">
        <v>44910.45991898148</v>
      </c>
      <c r="C310" s="1" t="n">
        <v>45887</v>
      </c>
      <c r="D310" t="inlineStr">
        <is>
          <t>ÖSTERGÖTLANDS LÄN</t>
        </is>
      </c>
      <c r="E310" t="inlineStr">
        <is>
          <t>VALDEMARSVIK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43793-2020</t>
        </is>
      </c>
      <c r="B311" s="1" t="n">
        <v>44082</v>
      </c>
      <c r="C311" s="1" t="n">
        <v>45887</v>
      </c>
      <c r="D311" t="inlineStr">
        <is>
          <t>ÖSTERGÖTLANDS LÄN</t>
        </is>
      </c>
      <c r="E311" t="inlineStr">
        <is>
          <t>VALDEMARSVIK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29008-2022</t>
        </is>
      </c>
      <c r="B312" s="1" t="n">
        <v>44749.69370370371</v>
      </c>
      <c r="C312" s="1" t="n">
        <v>45887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20068-2025</t>
        </is>
      </c>
      <c r="B313" s="1" t="n">
        <v>45772.43623842593</v>
      </c>
      <c r="C313" s="1" t="n">
        <v>45887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3533-2022</t>
        </is>
      </c>
      <c r="B314" s="1" t="n">
        <v>44585</v>
      </c>
      <c r="C314" s="1" t="n">
        <v>45887</v>
      </c>
      <c r="D314" t="inlineStr">
        <is>
          <t>ÖSTERGÖTLANDS LÄN</t>
        </is>
      </c>
      <c r="E314" t="inlineStr">
        <is>
          <t>VALDEMARSVIK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7646-2025</t>
        </is>
      </c>
      <c r="B315" s="1" t="n">
        <v>45705.83746527778</v>
      </c>
      <c r="C315" s="1" t="n">
        <v>45887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7647-2025</t>
        </is>
      </c>
      <c r="B316" s="1" t="n">
        <v>45705.84123842593</v>
      </c>
      <c r="C316" s="1" t="n">
        <v>45887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61436-2022</t>
        </is>
      </c>
      <c r="B317" s="1" t="n">
        <v>44916</v>
      </c>
      <c r="C317" s="1" t="n">
        <v>45887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8328-2024</t>
        </is>
      </c>
      <c r="B318" s="1" t="n">
        <v>45352.4880787037</v>
      </c>
      <c r="C318" s="1" t="n">
        <v>45887</v>
      </c>
      <c r="D318" t="inlineStr">
        <is>
          <t>ÖSTERGÖTLANDS LÄN</t>
        </is>
      </c>
      <c r="E318" t="inlineStr">
        <is>
          <t>VALDEMARSVIK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25702-2023</t>
        </is>
      </c>
      <c r="B319" s="1" t="n">
        <v>45090.31699074074</v>
      </c>
      <c r="C319" s="1" t="n">
        <v>45887</v>
      </c>
      <c r="D319" t="inlineStr">
        <is>
          <t>ÖSTERGÖTLANDS LÄN</t>
        </is>
      </c>
      <c r="E319" t="inlineStr">
        <is>
          <t>VALDEMARSVIK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26811-2023</t>
        </is>
      </c>
      <c r="B320" s="1" t="n">
        <v>45093</v>
      </c>
      <c r="C320" s="1" t="n">
        <v>45887</v>
      </c>
      <c r="D320" t="inlineStr">
        <is>
          <t>ÖSTERGÖTLANDS LÄN</t>
        </is>
      </c>
      <c r="E320" t="inlineStr">
        <is>
          <t>VALDEMARSVIK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48158-2023</t>
        </is>
      </c>
      <c r="B321" s="1" t="n">
        <v>45205.41054398148</v>
      </c>
      <c r="C321" s="1" t="n">
        <v>45887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21487-2023</t>
        </is>
      </c>
      <c r="B322" s="1" t="n">
        <v>45063</v>
      </c>
      <c r="C322" s="1" t="n">
        <v>45887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4946-2022</t>
        </is>
      </c>
      <c r="B323" s="1" t="n">
        <v>44593</v>
      </c>
      <c r="C323" s="1" t="n">
        <v>45887</v>
      </c>
      <c r="D323" t="inlineStr">
        <is>
          <t>ÖSTERGÖTLANDS LÄN</t>
        </is>
      </c>
      <c r="E323" t="inlineStr">
        <is>
          <t>VALDEMARSVIK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6548-2022</t>
        </is>
      </c>
      <c r="B324" s="1" t="n">
        <v>44601.54333333333</v>
      </c>
      <c r="C324" s="1" t="n">
        <v>45887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8176-2025</t>
        </is>
      </c>
      <c r="B325" s="1" t="n">
        <v>45708.38859953704</v>
      </c>
      <c r="C325" s="1" t="n">
        <v>45887</v>
      </c>
      <c r="D325" t="inlineStr">
        <is>
          <t>ÖSTERGÖTLANDS LÄN</t>
        </is>
      </c>
      <c r="E325" t="inlineStr">
        <is>
          <t>VALDEMARSVIK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25703-2023</t>
        </is>
      </c>
      <c r="B326" s="1" t="n">
        <v>45090.31920138889</v>
      </c>
      <c r="C326" s="1" t="n">
        <v>45887</v>
      </c>
      <c r="D326" t="inlineStr">
        <is>
          <t>ÖSTERGÖTLANDS LÄN</t>
        </is>
      </c>
      <c r="E326" t="inlineStr">
        <is>
          <t>VALDEMARSVIK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18961-2022</t>
        </is>
      </c>
      <c r="B327" s="1" t="n">
        <v>44690</v>
      </c>
      <c r="C327" s="1" t="n">
        <v>45887</v>
      </c>
      <c r="D327" t="inlineStr">
        <is>
          <t>ÖSTERGÖTLANDS LÄN</t>
        </is>
      </c>
      <c r="E327" t="inlineStr">
        <is>
          <t>VALDEMARSVIK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16771-2024</t>
        </is>
      </c>
      <c r="B328" s="1" t="n">
        <v>45411</v>
      </c>
      <c r="C328" s="1" t="n">
        <v>45887</v>
      </c>
      <c r="D328" t="inlineStr">
        <is>
          <t>ÖSTERGÖTLANDS LÄN</t>
        </is>
      </c>
      <c r="E328" t="inlineStr">
        <is>
          <t>VALDEMARSVIK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58247-2024</t>
        </is>
      </c>
      <c r="B329" s="1" t="n">
        <v>45632.55439814815</v>
      </c>
      <c r="C329" s="1" t="n">
        <v>45887</v>
      </c>
      <c r="D329" t="inlineStr">
        <is>
          <t>ÖSTERGÖTLANDS LÄN</t>
        </is>
      </c>
      <c r="E329" t="inlineStr">
        <is>
          <t>VALDEMARSVIK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41889-2023</t>
        </is>
      </c>
      <c r="B330" s="1" t="n">
        <v>45176</v>
      </c>
      <c r="C330" s="1" t="n">
        <v>45887</v>
      </c>
      <c r="D330" t="inlineStr">
        <is>
          <t>ÖSTERGÖTLANDS LÄN</t>
        </is>
      </c>
      <c r="E330" t="inlineStr">
        <is>
          <t>VALDEMARSVIK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47205-2023</t>
        </is>
      </c>
      <c r="B331" s="1" t="n">
        <v>45202</v>
      </c>
      <c r="C331" s="1" t="n">
        <v>45887</v>
      </c>
      <c r="D331" t="inlineStr">
        <is>
          <t>ÖSTERGÖTLANDS LÄN</t>
        </is>
      </c>
      <c r="E331" t="inlineStr">
        <is>
          <t>VALDEMARSVIK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14287-2025</t>
        </is>
      </c>
      <c r="B332" s="1" t="n">
        <v>45740</v>
      </c>
      <c r="C332" s="1" t="n">
        <v>45887</v>
      </c>
      <c r="D332" t="inlineStr">
        <is>
          <t>ÖSTERGÖTLANDS LÄN</t>
        </is>
      </c>
      <c r="E332" t="inlineStr">
        <is>
          <t>VALDEMARSVIK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14295-2025</t>
        </is>
      </c>
      <c r="B333" s="1" t="n">
        <v>45740</v>
      </c>
      <c r="C333" s="1" t="n">
        <v>45887</v>
      </c>
      <c r="D333" t="inlineStr">
        <is>
          <t>ÖSTERGÖTLANDS LÄN</t>
        </is>
      </c>
      <c r="E333" t="inlineStr">
        <is>
          <t>VALDEMARSVIK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6357-2023</t>
        </is>
      </c>
      <c r="B334" s="1" t="n">
        <v>44965.57659722222</v>
      </c>
      <c r="C334" s="1" t="n">
        <v>45887</v>
      </c>
      <c r="D334" t="inlineStr">
        <is>
          <t>ÖSTERGÖTLANDS LÄN</t>
        </is>
      </c>
      <c r="E334" t="inlineStr">
        <is>
          <t>VALDEMARSVIK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57513-2022</t>
        </is>
      </c>
      <c r="B335" s="1" t="n">
        <v>44896</v>
      </c>
      <c r="C335" s="1" t="n">
        <v>45887</v>
      </c>
      <c r="D335" t="inlineStr">
        <is>
          <t>ÖSTERGÖTLANDS LÄN</t>
        </is>
      </c>
      <c r="E335" t="inlineStr">
        <is>
          <t>VALDEMARSVIK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37421-2024</t>
        </is>
      </c>
      <c r="B336" s="1" t="n">
        <v>45540.64366898148</v>
      </c>
      <c r="C336" s="1" t="n">
        <v>45887</v>
      </c>
      <c r="D336" t="inlineStr">
        <is>
          <t>ÖSTERGÖTLANDS LÄN</t>
        </is>
      </c>
      <c r="E336" t="inlineStr">
        <is>
          <t>VALDEMARSVIK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3280-2023</t>
        </is>
      </c>
      <c r="B337" s="1" t="n">
        <v>44949.35385416666</v>
      </c>
      <c r="C337" s="1" t="n">
        <v>45887</v>
      </c>
      <c r="D337" t="inlineStr">
        <is>
          <t>ÖSTERGÖTLANDS LÄN</t>
        </is>
      </c>
      <c r="E337" t="inlineStr">
        <is>
          <t>VALDEMARSVIK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50992-2023</t>
        </is>
      </c>
      <c r="B338" s="1" t="n">
        <v>45218</v>
      </c>
      <c r="C338" s="1" t="n">
        <v>45887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8890-2024</t>
        </is>
      </c>
      <c r="B339" s="1" t="n">
        <v>45357.30267361111</v>
      </c>
      <c r="C339" s="1" t="n">
        <v>45887</v>
      </c>
      <c r="D339" t="inlineStr">
        <is>
          <t>ÖSTERGÖTLANDS LÄN</t>
        </is>
      </c>
      <c r="E339" t="inlineStr">
        <is>
          <t>VALDEMARSVIK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26939-2023</t>
        </is>
      </c>
      <c r="B340" s="1" t="n">
        <v>45093</v>
      </c>
      <c r="C340" s="1" t="n">
        <v>45887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43509-2024</t>
        </is>
      </c>
      <c r="B341" s="1" t="n">
        <v>45569.31166666667</v>
      </c>
      <c r="C341" s="1" t="n">
        <v>45887</v>
      </c>
      <c r="D341" t="inlineStr">
        <is>
          <t>ÖSTERGÖTLANDS LÄN</t>
        </is>
      </c>
      <c r="E341" t="inlineStr">
        <is>
          <t>VALDEMARSVIK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14309-2025</t>
        </is>
      </c>
      <c r="B342" s="1" t="n">
        <v>45740.70921296296</v>
      </c>
      <c r="C342" s="1" t="n">
        <v>45887</v>
      </c>
      <c r="D342" t="inlineStr">
        <is>
          <t>ÖSTERGÖTLANDS LÄN</t>
        </is>
      </c>
      <c r="E342" t="inlineStr">
        <is>
          <t>VALDEMARSVIK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18055-2025</t>
        </is>
      </c>
      <c r="B343" s="1" t="n">
        <v>45761.47571759259</v>
      </c>
      <c r="C343" s="1" t="n">
        <v>45887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42623-2024</t>
        </is>
      </c>
      <c r="B344" s="1" t="n">
        <v>45565.84452546296</v>
      </c>
      <c r="C344" s="1" t="n">
        <v>45887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2025-08-18T08:29:35Z</dcterms:created>
  <dcterms:modified xmlns:dcterms="http://purl.org/dc/terms/" xmlns:xsi="http://www.w3.org/2001/XMLSchema-instance" xsi:type="dcterms:W3CDTF">2025-08-18T08:29:35Z</dcterms:modified>
</cp:coreProperties>
</file>