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45708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45708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45708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45708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45708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45708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6578-2025</t>
        </is>
      </c>
      <c r="B8" s="1" t="n">
        <v>45699</v>
      </c>
      <c r="C8" s="1" t="n">
        <v>45708</v>
      </c>
      <c r="D8" t="inlineStr">
        <is>
          <t>ÖSTERGÖTLANDS LÄN</t>
        </is>
      </c>
      <c r="E8" t="inlineStr">
        <is>
          <t>VALDEMARSVIK</t>
        </is>
      </c>
      <c r="G8" t="n">
        <v>3.8</v>
      </c>
      <c r="H8" t="n">
        <v>1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Hasselsnok
Ljungsnärja
Bredbrämad bastardsvärmare
Mindre bastardsvärmare</t>
        </is>
      </c>
      <c r="S8">
        <f>HYPERLINK("https://klasma.github.io/Logging_0563/artfynd/A 6578-2025 artfynd.xlsx", "A 6578-2025")</f>
        <v/>
      </c>
      <c r="T8">
        <f>HYPERLINK("https://klasma.github.io/Logging_0563/kartor/A 6578-2025 karta.png", "A 6578-2025")</f>
        <v/>
      </c>
      <c r="V8">
        <f>HYPERLINK("https://klasma.github.io/Logging_0563/klagomål/A 6578-2025 FSC-klagomål.docx", "A 6578-2025")</f>
        <v/>
      </c>
      <c r="W8">
        <f>HYPERLINK("https://klasma.github.io/Logging_0563/klagomålsmail/A 6578-2025 FSC-klagomål mail.docx", "A 6578-2025")</f>
        <v/>
      </c>
      <c r="X8">
        <f>HYPERLINK("https://klasma.github.io/Logging_0563/tillsyn/A 6578-2025 tillsynsbegäran.docx", "A 6578-2025")</f>
        <v/>
      </c>
      <c r="Y8">
        <f>HYPERLINK("https://klasma.github.io/Logging_0563/tillsynsmail/A 6578-2025 tillsynsbegäran mail.docx", "A 6578-2025")</f>
        <v/>
      </c>
    </row>
    <row r="9" ht="15" customHeight="1">
      <c r="A9" t="inlineStr">
        <is>
          <t>A 5212-2020</t>
        </is>
      </c>
      <c r="B9" s="1" t="n">
        <v>43860</v>
      </c>
      <c r="C9" s="1" t="n">
        <v>45708</v>
      </c>
      <c r="D9" t="inlineStr">
        <is>
          <t>ÖSTERGÖTLANDS LÄN</t>
        </is>
      </c>
      <c r="E9" t="inlineStr">
        <is>
          <t>VALDEMARSVIK</t>
        </is>
      </c>
      <c r="G9" t="n">
        <v>1.7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Dvärgbägarlav
Blomkålssvamp
Mindre märgborre</t>
        </is>
      </c>
      <c r="S9">
        <f>HYPERLINK("https://klasma.github.io/Logging_0563/artfynd/A 5212-2020 artfynd.xlsx", "A 5212-2020")</f>
        <v/>
      </c>
      <c r="T9">
        <f>HYPERLINK("https://klasma.github.io/Logging_0563/kartor/A 5212-2020 karta.png", "A 5212-2020")</f>
        <v/>
      </c>
      <c r="V9">
        <f>HYPERLINK("https://klasma.github.io/Logging_0563/klagomål/A 5212-2020 FSC-klagomål.docx", "A 5212-2020")</f>
        <v/>
      </c>
      <c r="W9">
        <f>HYPERLINK("https://klasma.github.io/Logging_0563/klagomålsmail/A 5212-2020 FSC-klagomål mail.docx", "A 5212-2020")</f>
        <v/>
      </c>
      <c r="X9">
        <f>HYPERLINK("https://klasma.github.io/Logging_0563/tillsyn/A 5212-2020 tillsynsbegäran.docx", "A 5212-2020")</f>
        <v/>
      </c>
      <c r="Y9">
        <f>HYPERLINK("https://klasma.github.io/Logging_0563/tillsynsmail/A 5212-2020 tillsynsbegäran mail.docx", "A 5212-2020")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45708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s="1" t="n">
        <v>44712</v>
      </c>
      <c r="C11" s="1" t="n">
        <v>45708</v>
      </c>
      <c r="D11" t="inlineStr">
        <is>
          <t>ÖSTERGÖTLANDS LÄN</t>
        </is>
      </c>
      <c r="E11" t="inlineStr">
        <is>
          <t>VALDEMARSVIK</t>
        </is>
      </c>
      <c r="G11" t="n">
        <v>0.6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Gråskimlig fladdermus</t>
        </is>
      </c>
      <c r="S11">
        <f>HYPERLINK("https://klasma.github.io/Logging_0563/artfynd/A 22312-2022 artfynd.xlsx", "A 22312-2022")</f>
        <v/>
      </c>
      <c r="T11">
        <f>HYPERLINK("https://klasma.github.io/Logging_0563/kartor/A 22312-2022 karta.png", "A 22312-2022")</f>
        <v/>
      </c>
      <c r="V11">
        <f>HYPERLINK("https://klasma.github.io/Logging_0563/klagomål/A 22312-2022 FSC-klagomål.docx", "A 22312-2022")</f>
        <v/>
      </c>
      <c r="W11">
        <f>HYPERLINK("https://klasma.github.io/Logging_0563/klagomålsmail/A 22312-2022 FSC-klagomål mail.docx", "A 22312-2022")</f>
        <v/>
      </c>
      <c r="X11">
        <f>HYPERLINK("https://klasma.github.io/Logging_0563/tillsyn/A 22312-2022 tillsynsbegäran.docx", "A 22312-2022")</f>
        <v/>
      </c>
      <c r="Y11">
        <f>HYPERLINK("https://klasma.github.io/Logging_0563/tillsynsmail/A 22312-2022 tillsynsbegäran mail.docx", "A 22312-2022")</f>
        <v/>
      </c>
    </row>
    <row r="12" ht="15" customHeight="1">
      <c r="A12" t="inlineStr">
        <is>
          <t>A 6871-2024</t>
        </is>
      </c>
      <c r="B12" s="1" t="n">
        <v>45342</v>
      </c>
      <c r="C12" s="1" t="n">
        <v>45708</v>
      </c>
      <c r="D12" t="inlineStr">
        <is>
          <t>ÖSTERGÖTLANDS LÄN</t>
        </is>
      </c>
      <c r="E12" t="inlineStr">
        <is>
          <t>VALDEMARSVIK</t>
        </is>
      </c>
      <c r="G12" t="n">
        <v>7.8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Fällmossa</t>
        </is>
      </c>
      <c r="S12">
        <f>HYPERLINK("https://klasma.github.io/Logging_0563/artfynd/A 6871-2024 artfynd.xlsx", "A 6871-2024")</f>
        <v/>
      </c>
      <c r="T12">
        <f>HYPERLINK("https://klasma.github.io/Logging_0563/kartor/A 6871-2024 karta.png", "A 6871-2024")</f>
        <v/>
      </c>
      <c r="U12">
        <f>HYPERLINK("https://klasma.github.io/Logging_0563/knärot/A 6871-2024 karta knärot.png", "A 6871-2024")</f>
        <v/>
      </c>
      <c r="V12">
        <f>HYPERLINK("https://klasma.github.io/Logging_0563/klagomål/A 6871-2024 FSC-klagomål.docx", "A 6871-2024")</f>
        <v/>
      </c>
      <c r="W12">
        <f>HYPERLINK("https://klasma.github.io/Logging_0563/klagomålsmail/A 6871-2024 FSC-klagomål mail.docx", "A 6871-2024")</f>
        <v/>
      </c>
      <c r="X12">
        <f>HYPERLINK("https://klasma.github.io/Logging_0563/tillsyn/A 6871-2024 tillsynsbegäran.docx", "A 6871-2024")</f>
        <v/>
      </c>
      <c r="Y12">
        <f>HYPERLINK("https://klasma.github.io/Logging_0563/tillsynsmail/A 6871-2024 tillsynsbegäran mail.docx", "A 6871-2024")</f>
        <v/>
      </c>
    </row>
    <row r="13" ht="15" customHeight="1">
      <c r="A13" t="inlineStr">
        <is>
          <t>A 43511-2024</t>
        </is>
      </c>
      <c r="B13" s="1" t="n">
        <v>45569</v>
      </c>
      <c r="C13" s="1" t="n">
        <v>45708</v>
      </c>
      <c r="D13" t="inlineStr">
        <is>
          <t>ÖSTERGÖTLANDS LÄN</t>
        </is>
      </c>
      <c r="E13" t="inlineStr">
        <is>
          <t>VALDEMARSVIK</t>
        </is>
      </c>
      <c r="G13" t="n">
        <v>3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Blåsippa
Mattlummer
Revlummer</t>
        </is>
      </c>
      <c r="S13">
        <f>HYPERLINK("https://klasma.github.io/Logging_0563/artfynd/A 43511-2024 artfynd.xlsx", "A 43511-2024")</f>
        <v/>
      </c>
      <c r="T13">
        <f>HYPERLINK("https://klasma.github.io/Logging_0563/kartor/A 43511-2024 karta.png", "A 43511-2024")</f>
        <v/>
      </c>
      <c r="V13">
        <f>HYPERLINK("https://klasma.github.io/Logging_0563/klagomål/A 43511-2024 FSC-klagomål.docx", "A 43511-2024")</f>
        <v/>
      </c>
      <c r="W13">
        <f>HYPERLINK("https://klasma.github.io/Logging_0563/klagomålsmail/A 43511-2024 FSC-klagomål mail.docx", "A 43511-2024")</f>
        <v/>
      </c>
      <c r="X13">
        <f>HYPERLINK("https://klasma.github.io/Logging_0563/tillsyn/A 43511-2024 tillsynsbegäran.docx", "A 43511-2024")</f>
        <v/>
      </c>
      <c r="Y13">
        <f>HYPERLINK("https://klasma.github.io/Logging_0563/tillsynsmail/A 43511-2024 tillsynsbegäran mail.docx", "A 43511-2024")</f>
        <v/>
      </c>
    </row>
    <row r="14" ht="15" customHeight="1">
      <c r="A14" t="inlineStr">
        <is>
          <t>A 52590-2024</t>
        </is>
      </c>
      <c r="B14" s="1" t="n">
        <v>45609</v>
      </c>
      <c r="C14" s="1" t="n">
        <v>45708</v>
      </c>
      <c r="D14" t="inlineStr">
        <is>
          <t>ÖSTERGÖTLANDS LÄN</t>
        </is>
      </c>
      <c r="E14" t="inlineStr">
        <is>
          <t>VALDEMARSVIK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Blåsippa</t>
        </is>
      </c>
      <c r="S14">
        <f>HYPERLINK("https://klasma.github.io/Logging_0563/artfynd/A 52590-2024 artfynd.xlsx", "A 52590-2024")</f>
        <v/>
      </c>
      <c r="T14">
        <f>HYPERLINK("https://klasma.github.io/Logging_0563/kartor/A 52590-2024 karta.png", "A 52590-2024")</f>
        <v/>
      </c>
      <c r="V14">
        <f>HYPERLINK("https://klasma.github.io/Logging_0563/klagomål/A 52590-2024 FSC-klagomål.docx", "A 52590-2024")</f>
        <v/>
      </c>
      <c r="W14">
        <f>HYPERLINK("https://klasma.github.io/Logging_0563/klagomålsmail/A 52590-2024 FSC-klagomål mail.docx", "A 52590-2024")</f>
        <v/>
      </c>
      <c r="X14">
        <f>HYPERLINK("https://klasma.github.io/Logging_0563/tillsyn/A 52590-2024 tillsynsbegäran.docx", "A 52590-2024")</f>
        <v/>
      </c>
      <c r="Y14">
        <f>HYPERLINK("https://klasma.github.io/Logging_0563/tillsynsmail/A 52590-2024 tillsynsbegäran mail.docx", "A 52590-2024")</f>
        <v/>
      </c>
    </row>
    <row r="15" ht="15" customHeight="1">
      <c r="A15" t="inlineStr">
        <is>
          <t>A 34220-2020</t>
        </is>
      </c>
      <c r="B15" s="1" t="n">
        <v>44029</v>
      </c>
      <c r="C15" s="1" t="n">
        <v>45708</v>
      </c>
      <c r="D15" t="inlineStr">
        <is>
          <t>ÖSTERGÖTLANDS LÄN</t>
        </is>
      </c>
      <c r="E15" t="inlineStr">
        <is>
          <t>VALDEMARSVIK</t>
        </is>
      </c>
      <c r="G15" t="n">
        <v>3.6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Ängsnycklar
Blåsippa</t>
        </is>
      </c>
      <c r="S15">
        <f>HYPERLINK("https://klasma.github.io/Logging_0563/artfynd/A 34220-2020 artfynd.xlsx", "A 34220-2020")</f>
        <v/>
      </c>
      <c r="T15">
        <f>HYPERLINK("https://klasma.github.io/Logging_0563/kartor/A 34220-2020 karta.png", "A 34220-2020")</f>
        <v/>
      </c>
      <c r="V15">
        <f>HYPERLINK("https://klasma.github.io/Logging_0563/klagomål/A 34220-2020 FSC-klagomål.docx", "A 34220-2020")</f>
        <v/>
      </c>
      <c r="W15">
        <f>HYPERLINK("https://klasma.github.io/Logging_0563/klagomålsmail/A 34220-2020 FSC-klagomål mail.docx", "A 34220-2020")</f>
        <v/>
      </c>
      <c r="X15">
        <f>HYPERLINK("https://klasma.github.io/Logging_0563/tillsyn/A 34220-2020 tillsynsbegäran.docx", "A 34220-2020")</f>
        <v/>
      </c>
      <c r="Y15">
        <f>HYPERLINK("https://klasma.github.io/Logging_0563/tillsynsmail/A 34220-2020 tillsynsbegäran mail.docx", "A 34220-2020")</f>
        <v/>
      </c>
    </row>
    <row r="16" ht="15" customHeight="1">
      <c r="A16" t="inlineStr">
        <is>
          <t>A 59837-2020</t>
        </is>
      </c>
      <c r="B16" s="1" t="n">
        <v>44151</v>
      </c>
      <c r="C16" s="1" t="n">
        <v>45708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Färgginst
Skogsklocka</t>
        </is>
      </c>
      <c r="S16">
        <f>HYPERLINK("https://klasma.github.io/Logging_0563/artfynd/A 59837-2020 artfynd.xlsx", "A 59837-2020")</f>
        <v/>
      </c>
      <c r="T16">
        <f>HYPERLINK("https://klasma.github.io/Logging_0563/kartor/A 59837-2020 karta.png", "A 59837-2020")</f>
        <v/>
      </c>
      <c r="V16">
        <f>HYPERLINK("https://klasma.github.io/Logging_0563/klagomål/A 59837-2020 FSC-klagomål.docx", "A 59837-2020")</f>
        <v/>
      </c>
      <c r="W16">
        <f>HYPERLINK("https://klasma.github.io/Logging_0563/klagomålsmail/A 59837-2020 FSC-klagomål mail.docx", "A 59837-2020")</f>
        <v/>
      </c>
      <c r="X16">
        <f>HYPERLINK("https://klasma.github.io/Logging_0563/tillsyn/A 59837-2020 tillsynsbegäran.docx", "A 59837-2020")</f>
        <v/>
      </c>
      <c r="Y16">
        <f>HYPERLINK("https://klasma.github.io/Logging_0563/tillsynsmail/A 59837-2020 tillsynsbegäran mail.docx", "A 59837-2020")</f>
        <v/>
      </c>
    </row>
    <row r="17" ht="15" customHeight="1">
      <c r="A17" t="inlineStr">
        <is>
          <t>A 11016-2023</t>
        </is>
      </c>
      <c r="B17" s="1" t="n">
        <v>44991</v>
      </c>
      <c r="C17" s="1" t="n">
        <v>45708</v>
      </c>
      <c r="D17" t="inlineStr">
        <is>
          <t>ÖSTERGÖTLANDS LÄN</t>
        </is>
      </c>
      <c r="E17" t="inlineStr">
        <is>
          <t>VALDEMARSVIK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Ärtvicker
Bergjohannesört</t>
        </is>
      </c>
      <c r="S17">
        <f>HYPERLINK("https://klasma.github.io/Logging_0563/artfynd/A 11016-2023 artfynd.xlsx", "A 11016-2023")</f>
        <v/>
      </c>
      <c r="T17">
        <f>HYPERLINK("https://klasma.github.io/Logging_0563/kartor/A 11016-2023 karta.png", "A 11016-2023")</f>
        <v/>
      </c>
      <c r="V17">
        <f>HYPERLINK("https://klasma.github.io/Logging_0563/klagomål/A 11016-2023 FSC-klagomål.docx", "A 11016-2023")</f>
        <v/>
      </c>
      <c r="W17">
        <f>HYPERLINK("https://klasma.github.io/Logging_0563/klagomålsmail/A 11016-2023 FSC-klagomål mail.docx", "A 11016-2023")</f>
        <v/>
      </c>
      <c r="X17">
        <f>HYPERLINK("https://klasma.github.io/Logging_0563/tillsyn/A 11016-2023 tillsynsbegäran.docx", "A 11016-2023")</f>
        <v/>
      </c>
      <c r="Y17">
        <f>HYPERLINK("https://klasma.github.io/Logging_0563/tillsynsmail/A 11016-2023 tillsynsbegäran mail.docx", "A 11016-2023")</f>
        <v/>
      </c>
    </row>
    <row r="18" ht="15" customHeight="1">
      <c r="A18" t="inlineStr">
        <is>
          <t>A 64369-2023</t>
        </is>
      </c>
      <c r="B18" s="1" t="n">
        <v>45280</v>
      </c>
      <c r="C18" s="1" t="n">
        <v>45708</v>
      </c>
      <c r="D18" t="inlineStr">
        <is>
          <t>ÖSTERGÖTLANDS LÄN</t>
        </is>
      </c>
      <c r="E18" t="inlineStr">
        <is>
          <t>VALDEMARSVIK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Adam och eva
Gullviva</t>
        </is>
      </c>
      <c r="S18">
        <f>HYPERLINK("https://klasma.github.io/Logging_0563/artfynd/A 64369-2023 artfynd.xlsx", "A 64369-2023")</f>
        <v/>
      </c>
      <c r="T18">
        <f>HYPERLINK("https://klasma.github.io/Logging_0563/kartor/A 64369-2023 karta.png", "A 64369-2023")</f>
        <v/>
      </c>
      <c r="V18">
        <f>HYPERLINK("https://klasma.github.io/Logging_0563/klagomål/A 64369-2023 FSC-klagomål.docx", "A 64369-2023")</f>
        <v/>
      </c>
      <c r="W18">
        <f>HYPERLINK("https://klasma.github.io/Logging_0563/klagomålsmail/A 64369-2023 FSC-klagomål mail.docx", "A 64369-2023")</f>
        <v/>
      </c>
      <c r="X18">
        <f>HYPERLINK("https://klasma.github.io/Logging_0563/tillsyn/A 64369-2023 tillsynsbegäran.docx", "A 64369-2023")</f>
        <v/>
      </c>
      <c r="Y18">
        <f>HYPERLINK("https://klasma.github.io/Logging_0563/tillsynsmail/A 64369-2023 tillsynsbegäran mail.docx", "A 64369-2023")</f>
        <v/>
      </c>
    </row>
    <row r="19" ht="15" customHeight="1">
      <c r="A19" t="inlineStr">
        <is>
          <t>A 7247-2024</t>
        </is>
      </c>
      <c r="B19" s="1" t="n">
        <v>45344</v>
      </c>
      <c r="C19" s="1" t="n">
        <v>45708</v>
      </c>
      <c r="D19" t="inlineStr">
        <is>
          <t>ÖSTERGÖTLANDS LÄN</t>
        </is>
      </c>
      <c r="E19" t="inlineStr">
        <is>
          <t>VALDEMARSVIK</t>
        </is>
      </c>
      <c r="G19" t="n">
        <v>2.6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Talltita</t>
        </is>
      </c>
      <c r="S19">
        <f>HYPERLINK("https://klasma.github.io/Logging_0563/artfynd/A 7247-2024 artfynd.xlsx", "A 7247-2024")</f>
        <v/>
      </c>
      <c r="T19">
        <f>HYPERLINK("https://klasma.github.io/Logging_0563/kartor/A 7247-2024 karta.png", "A 7247-2024")</f>
        <v/>
      </c>
      <c r="V19">
        <f>HYPERLINK("https://klasma.github.io/Logging_0563/klagomål/A 7247-2024 FSC-klagomål.docx", "A 7247-2024")</f>
        <v/>
      </c>
      <c r="W19">
        <f>HYPERLINK("https://klasma.github.io/Logging_0563/klagomålsmail/A 7247-2024 FSC-klagomål mail.docx", "A 7247-2024")</f>
        <v/>
      </c>
      <c r="X19">
        <f>HYPERLINK("https://klasma.github.io/Logging_0563/tillsyn/A 7247-2024 tillsynsbegäran.docx", "A 7247-2024")</f>
        <v/>
      </c>
      <c r="Y19">
        <f>HYPERLINK("https://klasma.github.io/Logging_0563/tillsynsmail/A 7247-2024 tillsynsbegäran mail.docx", "A 7247-2024")</f>
        <v/>
      </c>
      <c r="Z19">
        <f>HYPERLINK("https://klasma.github.io/Logging_0563/fåglar/A 7247-2024 prioriterade fågelarter.docx", "A 7247-2024")</f>
        <v/>
      </c>
    </row>
    <row r="20" ht="15" customHeight="1">
      <c r="A20" t="inlineStr">
        <is>
          <t>A 20149-2019</t>
        </is>
      </c>
      <c r="B20" s="1" t="n">
        <v>43570</v>
      </c>
      <c r="C20" s="1" t="n">
        <v>45708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Övriga Aktiebolag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HYPERLINK("https://klasma.github.io/Logging_0563/artfynd/A 20149-2019 artfynd.xlsx", "A 20149-2019")</f>
        <v/>
      </c>
      <c r="T20">
        <f>HYPERLINK("https://klasma.github.io/Logging_0563/kartor/A 20149-2019 karta.png", "A 20149-2019")</f>
        <v/>
      </c>
      <c r="V20">
        <f>HYPERLINK("https://klasma.github.io/Logging_0563/klagomål/A 20149-2019 FSC-klagomål.docx", "A 20149-2019")</f>
        <v/>
      </c>
      <c r="W20">
        <f>HYPERLINK("https://klasma.github.io/Logging_0563/klagomålsmail/A 20149-2019 FSC-klagomål mail.docx", "A 20149-2019")</f>
        <v/>
      </c>
      <c r="X20">
        <f>HYPERLINK("https://klasma.github.io/Logging_0563/tillsyn/A 20149-2019 tillsynsbegäran.docx", "A 20149-2019")</f>
        <v/>
      </c>
      <c r="Y20">
        <f>HYPERLINK("https://klasma.github.io/Logging_0563/tillsynsmail/A 20149-2019 tillsynsbegäran mail.docx", "A 20149-2019")</f>
        <v/>
      </c>
    </row>
    <row r="21" ht="15" customHeight="1">
      <c r="A21" t="inlineStr">
        <is>
          <t>A 24118-2020</t>
        </is>
      </c>
      <c r="B21" s="1" t="n">
        <v>43973</v>
      </c>
      <c r="C21" s="1" t="n">
        <v>45708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HYPERLINK("https://klasma.github.io/Logging_0563/artfynd/A 24118-2020 artfynd.xlsx", "A 24118-2020")</f>
        <v/>
      </c>
      <c r="T21">
        <f>HYPERLINK("https://klasma.github.io/Logging_0563/kartor/A 24118-2020 karta.png", "A 24118-2020")</f>
        <v/>
      </c>
      <c r="V21">
        <f>HYPERLINK("https://klasma.github.io/Logging_0563/klagomål/A 24118-2020 FSC-klagomål.docx", "A 24118-2020")</f>
        <v/>
      </c>
      <c r="W21">
        <f>HYPERLINK("https://klasma.github.io/Logging_0563/klagomålsmail/A 24118-2020 FSC-klagomål mail.docx", "A 24118-2020")</f>
        <v/>
      </c>
      <c r="X21">
        <f>HYPERLINK("https://klasma.github.io/Logging_0563/tillsyn/A 24118-2020 tillsynsbegäran.docx", "A 24118-2020")</f>
        <v/>
      </c>
      <c r="Y21">
        <f>HYPERLINK("https://klasma.github.io/Logging_0563/tillsynsmail/A 24118-2020 tillsynsbegäran mail.docx", "A 24118-2020")</f>
        <v/>
      </c>
    </row>
    <row r="22" ht="15" customHeight="1">
      <c r="A22" t="inlineStr">
        <is>
          <t>A 34236-2020</t>
        </is>
      </c>
      <c r="B22" s="1" t="n">
        <v>44029</v>
      </c>
      <c r="C22" s="1" t="n">
        <v>45708</v>
      </c>
      <c r="D22" t="inlineStr">
        <is>
          <t>ÖSTERGÖTLANDS LÄN</t>
        </is>
      </c>
      <c r="E22" t="inlineStr">
        <is>
          <t>VALDEMARSVIK</t>
        </is>
      </c>
      <c r="G22" t="n">
        <v>7.5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34236-2020 artfynd.xlsx", "A 34236-2020")</f>
        <v/>
      </c>
      <c r="T22">
        <f>HYPERLINK("https://klasma.github.io/Logging_0563/kartor/A 34236-2020 karta.png", "A 34236-2020")</f>
        <v/>
      </c>
      <c r="U22">
        <f>HYPERLINK("https://klasma.github.io/Logging_0563/knärot/A 34236-2020 karta knärot.png", "A 34236-2020")</f>
        <v/>
      </c>
      <c r="V22">
        <f>HYPERLINK("https://klasma.github.io/Logging_0563/klagomål/A 34236-2020 FSC-klagomål.docx", "A 34236-2020")</f>
        <v/>
      </c>
      <c r="W22">
        <f>HYPERLINK("https://klasma.github.io/Logging_0563/klagomålsmail/A 34236-2020 FSC-klagomål mail.docx", "A 34236-2020")</f>
        <v/>
      </c>
      <c r="X22">
        <f>HYPERLINK("https://klasma.github.io/Logging_0563/tillsyn/A 34236-2020 tillsynsbegäran.docx", "A 34236-2020")</f>
        <v/>
      </c>
      <c r="Y22">
        <f>HYPERLINK("https://klasma.github.io/Logging_0563/tillsynsmail/A 34236-2020 tillsynsbegäran mail.docx", "A 34236-2020")</f>
        <v/>
      </c>
    </row>
    <row r="23" ht="15" customHeight="1">
      <c r="A23" t="inlineStr">
        <is>
          <t>A 65400-2020</t>
        </is>
      </c>
      <c r="B23" s="1" t="n">
        <v>44173</v>
      </c>
      <c r="C23" s="1" t="n">
        <v>45708</v>
      </c>
      <c r="D23" t="inlineStr">
        <is>
          <t>ÖSTERGÖTLANDS LÄN</t>
        </is>
      </c>
      <c r="E23" t="inlineStr">
        <is>
          <t>VALDEMARSVIK</t>
        </is>
      </c>
      <c r="G23" t="n">
        <v>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Nästrot</t>
        </is>
      </c>
      <c r="S23">
        <f>HYPERLINK("https://klasma.github.io/Logging_0563/artfynd/A 65400-2020 artfynd.xlsx", "A 65400-2020")</f>
        <v/>
      </c>
      <c r="T23">
        <f>HYPERLINK("https://klasma.github.io/Logging_0563/kartor/A 65400-2020 karta.png", "A 65400-2020")</f>
        <v/>
      </c>
      <c r="V23">
        <f>HYPERLINK("https://klasma.github.io/Logging_0563/klagomål/A 65400-2020 FSC-klagomål.docx", "A 65400-2020")</f>
        <v/>
      </c>
      <c r="W23">
        <f>HYPERLINK("https://klasma.github.io/Logging_0563/klagomålsmail/A 65400-2020 FSC-klagomål mail.docx", "A 65400-2020")</f>
        <v/>
      </c>
      <c r="X23">
        <f>HYPERLINK("https://klasma.github.io/Logging_0563/tillsyn/A 65400-2020 tillsynsbegäran.docx", "A 65400-2020")</f>
        <v/>
      </c>
      <c r="Y23">
        <f>HYPERLINK("https://klasma.github.io/Logging_0563/tillsynsmail/A 65400-2020 tillsynsbegäran mail.docx", "A 65400-2020")</f>
        <v/>
      </c>
    </row>
    <row r="24" ht="15" customHeight="1">
      <c r="A24" t="inlineStr">
        <is>
          <t>A 16388-2021</t>
        </is>
      </c>
      <c r="B24" s="1" t="n">
        <v>44293</v>
      </c>
      <c r="C24" s="1" t="n">
        <v>45708</v>
      </c>
      <c r="D24" t="inlineStr">
        <is>
          <t>ÖSTERGÖTLANDS LÄN</t>
        </is>
      </c>
      <c r="E24" t="inlineStr">
        <is>
          <t>VALDEMARSVIK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Svedjenäva</t>
        </is>
      </c>
      <c r="S24">
        <f>HYPERLINK("https://klasma.github.io/Logging_0563/artfynd/A 16388-2021 artfynd.xlsx", "A 16388-2021")</f>
        <v/>
      </c>
      <c r="T24">
        <f>HYPERLINK("https://klasma.github.io/Logging_0563/kartor/A 16388-2021 karta.png", "A 16388-2021")</f>
        <v/>
      </c>
      <c r="V24">
        <f>HYPERLINK("https://klasma.github.io/Logging_0563/klagomål/A 16388-2021 FSC-klagomål.docx", "A 16388-2021")</f>
        <v/>
      </c>
      <c r="W24">
        <f>HYPERLINK("https://klasma.github.io/Logging_0563/klagomålsmail/A 16388-2021 FSC-klagomål mail.docx", "A 16388-2021")</f>
        <v/>
      </c>
      <c r="X24">
        <f>HYPERLINK("https://klasma.github.io/Logging_0563/tillsyn/A 16388-2021 tillsynsbegäran.docx", "A 16388-2021")</f>
        <v/>
      </c>
      <c r="Y24">
        <f>HYPERLINK("https://klasma.github.io/Logging_0563/tillsynsmail/A 16388-2021 tillsynsbegäran mail.docx", "A 16388-2021")</f>
        <v/>
      </c>
    </row>
    <row r="25" ht="15" customHeight="1">
      <c r="A25" t="inlineStr">
        <is>
          <t>A 31168-2022</t>
        </is>
      </c>
      <c r="B25" s="1" t="n">
        <v>44770</v>
      </c>
      <c r="C25" s="1" t="n">
        <v>45708</v>
      </c>
      <c r="D25" t="inlineStr">
        <is>
          <t>ÖSTERGÖTLANDS LÄN</t>
        </is>
      </c>
      <c r="E25" t="inlineStr">
        <is>
          <t>VALDEMARSVIK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HYPERLINK("https://klasma.github.io/Logging_0563/artfynd/A 31168-2022 artfynd.xlsx", "A 31168-2022")</f>
        <v/>
      </c>
      <c r="T25">
        <f>HYPERLINK("https://klasma.github.io/Logging_0563/kartor/A 31168-2022 karta.png", "A 31168-2022")</f>
        <v/>
      </c>
      <c r="V25">
        <f>HYPERLINK("https://klasma.github.io/Logging_0563/klagomål/A 31168-2022 FSC-klagomål.docx", "A 31168-2022")</f>
        <v/>
      </c>
      <c r="W25">
        <f>HYPERLINK("https://klasma.github.io/Logging_0563/klagomålsmail/A 31168-2022 FSC-klagomål mail.docx", "A 31168-2022")</f>
        <v/>
      </c>
      <c r="X25">
        <f>HYPERLINK("https://klasma.github.io/Logging_0563/tillsyn/A 31168-2022 tillsynsbegäran.docx", "A 31168-2022")</f>
        <v/>
      </c>
      <c r="Y25">
        <f>HYPERLINK("https://klasma.github.io/Logging_0563/tillsynsmail/A 31168-2022 tillsynsbegäran mail.docx", "A 31168-2022")</f>
        <v/>
      </c>
    </row>
    <row r="26" ht="15" customHeight="1">
      <c r="A26" t="inlineStr">
        <is>
          <t>A 54785-2022</t>
        </is>
      </c>
      <c r="B26" s="1" t="n">
        <v>44883</v>
      </c>
      <c r="C26" s="1" t="n">
        <v>45708</v>
      </c>
      <c r="D26" t="inlineStr">
        <is>
          <t>ÖSTERGÖTLANDS LÄN</t>
        </is>
      </c>
      <c r="E26" t="inlineStr">
        <is>
          <t>VALDEMARSVIK</t>
        </is>
      </c>
      <c r="G26" t="n">
        <v>8.5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HYPERLINK("https://klasma.github.io/Logging_0563/artfynd/A 54785-2022 artfynd.xlsx", "A 54785-2022")</f>
        <v/>
      </c>
      <c r="T26">
        <f>HYPERLINK("https://klasma.github.io/Logging_0563/kartor/A 54785-2022 karta.png", "A 54785-2022")</f>
        <v/>
      </c>
      <c r="V26">
        <f>HYPERLINK("https://klasma.github.io/Logging_0563/klagomål/A 54785-2022 FSC-klagomål.docx", "A 54785-2022")</f>
        <v/>
      </c>
      <c r="W26">
        <f>HYPERLINK("https://klasma.github.io/Logging_0563/klagomålsmail/A 54785-2022 FSC-klagomål mail.docx", "A 54785-2022")</f>
        <v/>
      </c>
      <c r="X26">
        <f>HYPERLINK("https://klasma.github.io/Logging_0563/tillsyn/A 54785-2022 tillsynsbegäran.docx", "A 54785-2022")</f>
        <v/>
      </c>
      <c r="Y26">
        <f>HYPERLINK("https://klasma.github.io/Logging_0563/tillsynsmail/A 54785-2022 tillsynsbegäran mail.docx", "A 54785-2022")</f>
        <v/>
      </c>
      <c r="Z26">
        <f>HYPERLINK("https://klasma.github.io/Logging_0563/fåglar/A 54785-2022 prioriterade fågelarter.docx", "A 54785-2022")</f>
        <v/>
      </c>
    </row>
    <row r="27" ht="15" customHeight="1">
      <c r="A27" t="inlineStr">
        <is>
          <t>A 4051-2023</t>
        </is>
      </c>
      <c r="B27" s="1" t="n">
        <v>44952</v>
      </c>
      <c r="C27" s="1" t="n">
        <v>45708</v>
      </c>
      <c r="D27" t="inlineStr">
        <is>
          <t>ÖSTERGÖTLANDS LÄN</t>
        </is>
      </c>
      <c r="E27" t="inlineStr">
        <is>
          <t>VALDEMARSVIK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HYPERLINK("https://klasma.github.io/Logging_0563/artfynd/A 4051-2023 artfynd.xlsx", "A 4051-2023")</f>
        <v/>
      </c>
      <c r="T27">
        <f>HYPERLINK("https://klasma.github.io/Logging_0563/kartor/A 4051-2023 karta.png", "A 4051-2023")</f>
        <v/>
      </c>
      <c r="V27">
        <f>HYPERLINK("https://klasma.github.io/Logging_0563/klagomål/A 4051-2023 FSC-klagomål.docx", "A 4051-2023")</f>
        <v/>
      </c>
      <c r="W27">
        <f>HYPERLINK("https://klasma.github.io/Logging_0563/klagomålsmail/A 4051-2023 FSC-klagomål mail.docx", "A 4051-2023")</f>
        <v/>
      </c>
      <c r="X27">
        <f>HYPERLINK("https://klasma.github.io/Logging_0563/tillsyn/A 4051-2023 tillsynsbegäran.docx", "A 4051-2023")</f>
        <v/>
      </c>
      <c r="Y27">
        <f>HYPERLINK("https://klasma.github.io/Logging_0563/tillsynsmail/A 4051-2023 tillsynsbegäran mail.docx", "A 4051-2023")</f>
        <v/>
      </c>
    </row>
    <row r="28" ht="15" customHeight="1">
      <c r="A28" t="inlineStr">
        <is>
          <t>A 11012-2023</t>
        </is>
      </c>
      <c r="B28" s="1" t="n">
        <v>44991</v>
      </c>
      <c r="C28" s="1" t="n">
        <v>45708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HYPERLINK("https://klasma.github.io/Logging_0563/artfynd/A 11012-2023 artfynd.xlsx", "A 11012-2023")</f>
        <v/>
      </c>
      <c r="T28">
        <f>HYPERLINK("https://klasma.github.io/Logging_0563/kartor/A 11012-2023 karta.png", "A 11012-2023")</f>
        <v/>
      </c>
      <c r="U28">
        <f>HYPERLINK("https://klasma.github.io/Logging_0563/knärot/A 11012-2023 karta knärot.png", "A 11012-2023")</f>
        <v/>
      </c>
      <c r="V28">
        <f>HYPERLINK("https://klasma.github.io/Logging_0563/klagomål/A 11012-2023 FSC-klagomål.docx", "A 11012-2023")</f>
        <v/>
      </c>
      <c r="W28">
        <f>HYPERLINK("https://klasma.github.io/Logging_0563/klagomålsmail/A 11012-2023 FSC-klagomål mail.docx", "A 11012-2023")</f>
        <v/>
      </c>
      <c r="X28">
        <f>HYPERLINK("https://klasma.github.io/Logging_0563/tillsyn/A 11012-2023 tillsynsbegäran.docx", "A 11012-2023")</f>
        <v/>
      </c>
      <c r="Y28">
        <f>HYPERLINK("https://klasma.github.io/Logging_0563/tillsynsmail/A 11012-2023 tillsynsbegäran mail.docx", "A 11012-2023")</f>
        <v/>
      </c>
    </row>
    <row r="29" ht="15" customHeight="1">
      <c r="A29" t="inlineStr">
        <is>
          <t>A 11749-2023</t>
        </is>
      </c>
      <c r="B29" s="1" t="n">
        <v>44994</v>
      </c>
      <c r="C29" s="1" t="n">
        <v>45708</v>
      </c>
      <c r="D29" t="inlineStr">
        <is>
          <t>ÖSTERGÖTLANDS LÄN</t>
        </is>
      </c>
      <c r="E29" t="inlineStr">
        <is>
          <t>VALDEMARSVIK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Adam och eva</t>
        </is>
      </c>
      <c r="S29">
        <f>HYPERLINK("https://klasma.github.io/Logging_0563/artfynd/A 11749-2023 artfynd.xlsx", "A 11749-2023")</f>
        <v/>
      </c>
      <c r="T29">
        <f>HYPERLINK("https://klasma.github.io/Logging_0563/kartor/A 11749-2023 karta.png", "A 11749-2023")</f>
        <v/>
      </c>
      <c r="V29">
        <f>HYPERLINK("https://klasma.github.io/Logging_0563/klagomål/A 11749-2023 FSC-klagomål.docx", "A 11749-2023")</f>
        <v/>
      </c>
      <c r="W29">
        <f>HYPERLINK("https://klasma.github.io/Logging_0563/klagomålsmail/A 11749-2023 FSC-klagomål mail.docx", "A 11749-2023")</f>
        <v/>
      </c>
      <c r="X29">
        <f>HYPERLINK("https://klasma.github.io/Logging_0563/tillsyn/A 11749-2023 tillsynsbegäran.docx", "A 11749-2023")</f>
        <v/>
      </c>
      <c r="Y29">
        <f>HYPERLINK("https://klasma.github.io/Logging_0563/tillsynsmail/A 11749-2023 tillsynsbegäran mail.docx", "A 11749-2023")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45708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45708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45708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45708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45708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45708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45708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45708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45708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45708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45708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45708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45708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45708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45708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45708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45708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45708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45708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45708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45708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45708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45708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45708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45708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45708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45708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45708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45708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45708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45708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45708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45708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45708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45708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45708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45708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45708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45708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45708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45708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45708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45708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45708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45708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45708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45708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45708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45708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45708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45708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45708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45708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45708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45708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45708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45708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45708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45708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45708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45708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45708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45708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45708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45708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45708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45708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45708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45708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45708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45708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45708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45708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45708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45708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45708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45708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45708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45708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45708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45708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45708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45708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45708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45708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45708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45708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45708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45708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45708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45708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45708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45708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45708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45708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45708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45708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45708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45708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45708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45708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45708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45708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45708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45708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45708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45708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45708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45708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45708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45708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45708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45708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45708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45708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45708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45708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45708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45708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45708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45708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45708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45708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45708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45708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45708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45708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45708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45708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45708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45708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45708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45708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45708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45708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45708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45708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45708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45708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45708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45708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45708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45708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45708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45708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45708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45708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45708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45708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45708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45708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45708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45708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45708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45708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45708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45708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45708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45708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45708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45708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45708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45708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45708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45708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45708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45708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45708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45708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45708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45708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45708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45708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45708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45708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45708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45708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45708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45708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45708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45708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45708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45708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45708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45708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45708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45708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45708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45708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45708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45708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45708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45708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45708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45708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45708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45708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45708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45708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45708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45708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45708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45708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45708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45708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45708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45708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45708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45708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45708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45708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45708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45708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45708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45708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45708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45708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45708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45708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45708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45708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45708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45708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45708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45708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45708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45708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45708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45708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45708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45708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45708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45708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45708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45708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45708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45708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45708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45708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45708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45708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45708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45708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45708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45708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45708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45708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45708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45708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45708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45708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45708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45708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45708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45708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45708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45708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45708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45708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45708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45708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45708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45708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45708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45708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45708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45708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45708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45708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45708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45708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45708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45708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45708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45708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45708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45708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45708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45708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45708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45708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45708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45708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45708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45708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45708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45708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45708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45708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45708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45708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45708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45708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45708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45708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45708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45708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45708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45708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45708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45708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45708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45708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45708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45708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45708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45708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45708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45708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45708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45708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45708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45708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45708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45708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45708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45708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45708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45708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45708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45708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45708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45708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45708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45708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45708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45708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45708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45708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45708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45708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45708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45708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45708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45708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45708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45708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45708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45708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45708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45708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45708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45708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45708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45708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45708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45708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45708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40874-2023</t>
        </is>
      </c>
      <c r="B378" s="1" t="n">
        <v>45173</v>
      </c>
      <c r="C378" s="1" t="n">
        <v>45708</v>
      </c>
      <c r="D378" t="inlineStr">
        <is>
          <t>ÖSTERGÖTLANDS LÄN</t>
        </is>
      </c>
      <c r="E378" t="inlineStr">
        <is>
          <t>VALDEMARSVIK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41314-2023</t>
        </is>
      </c>
      <c r="B379" s="1" t="n">
        <v>45173</v>
      </c>
      <c r="C379" s="1" t="n">
        <v>45708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41881-2023</t>
        </is>
      </c>
      <c r="B380" s="1" t="n">
        <v>45176</v>
      </c>
      <c r="C380" s="1" t="n">
        <v>45708</v>
      </c>
      <c r="D380" t="inlineStr">
        <is>
          <t>ÖSTERGÖTLANDS LÄN</t>
        </is>
      </c>
      <c r="E380" t="inlineStr">
        <is>
          <t>VALDEMARSVIK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41889-2023</t>
        </is>
      </c>
      <c r="B381" s="1" t="n">
        <v>45176</v>
      </c>
      <c r="C381" s="1" t="n">
        <v>45708</v>
      </c>
      <c r="D381" t="inlineStr">
        <is>
          <t>ÖSTERGÖTLANDS LÄN</t>
        </is>
      </c>
      <c r="E381" t="inlineStr">
        <is>
          <t>VALDEMARSVIK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41887-2023</t>
        </is>
      </c>
      <c r="B382" s="1" t="n">
        <v>45176</v>
      </c>
      <c r="C382" s="1" t="n">
        <v>45708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43148-2023</t>
        </is>
      </c>
      <c r="B383" s="1" t="n">
        <v>45183</v>
      </c>
      <c r="C383" s="1" t="n">
        <v>45708</v>
      </c>
      <c r="D383" t="inlineStr">
        <is>
          <t>ÖSTERGÖTLANDS LÄN</t>
        </is>
      </c>
      <c r="E383" t="inlineStr">
        <is>
          <t>VALDEMARSVIK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43151-2023</t>
        </is>
      </c>
      <c r="B384" s="1" t="n">
        <v>45183</v>
      </c>
      <c r="C384" s="1" t="n">
        <v>45708</v>
      </c>
      <c r="D384" t="inlineStr">
        <is>
          <t>ÖSTERGÖTLANDS LÄN</t>
        </is>
      </c>
      <c r="E384" t="inlineStr">
        <is>
          <t>VALDEMARSVIK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43342-2023</t>
        </is>
      </c>
      <c r="B385" s="1" t="n">
        <v>45183</v>
      </c>
      <c r="C385" s="1" t="n">
        <v>45708</v>
      </c>
      <c r="D385" t="inlineStr">
        <is>
          <t>ÖSTERGÖTLANDS LÄN</t>
        </is>
      </c>
      <c r="E385" t="inlineStr">
        <is>
          <t>VALDEMARSVIK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43338-2023</t>
        </is>
      </c>
      <c r="B386" s="1" t="n">
        <v>45183</v>
      </c>
      <c r="C386" s="1" t="n">
        <v>45708</v>
      </c>
      <c r="D386" t="inlineStr">
        <is>
          <t>ÖSTERGÖTLANDS LÄN</t>
        </is>
      </c>
      <c r="E386" t="inlineStr">
        <is>
          <t>VALDEMARSVIK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44565-2023</t>
        </is>
      </c>
      <c r="B387" s="1" t="n">
        <v>45183</v>
      </c>
      <c r="C387" s="1" t="n">
        <v>45708</v>
      </c>
      <c r="D387" t="inlineStr">
        <is>
          <t>ÖSTERGÖTLANDS LÄN</t>
        </is>
      </c>
      <c r="E387" t="inlineStr">
        <is>
          <t>VALDEMARSVIK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44559-2023</t>
        </is>
      </c>
      <c r="B388" s="1" t="n">
        <v>45183</v>
      </c>
      <c r="C388" s="1" t="n">
        <v>45708</v>
      </c>
      <c r="D388" t="inlineStr">
        <is>
          <t>ÖSTERGÖTLANDS LÄN</t>
        </is>
      </c>
      <c r="E388" t="inlineStr">
        <is>
          <t>VALDEMARSVIK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44640-2023</t>
        </is>
      </c>
      <c r="B389" s="1" t="n">
        <v>45189</v>
      </c>
      <c r="C389" s="1" t="n">
        <v>45708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45982-2023</t>
        </is>
      </c>
      <c r="B390" s="1" t="n">
        <v>45189</v>
      </c>
      <c r="C390" s="1" t="n">
        <v>45708</v>
      </c>
      <c r="D390" t="inlineStr">
        <is>
          <t>ÖSTERGÖTLANDS LÄN</t>
        </is>
      </c>
      <c r="E390" t="inlineStr">
        <is>
          <t>VALDEMARSVIK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45377-2023</t>
        </is>
      </c>
      <c r="B391" s="1" t="n">
        <v>45193</v>
      </c>
      <c r="C391" s="1" t="n">
        <v>45708</v>
      </c>
      <c r="D391" t="inlineStr">
        <is>
          <t>ÖSTERGÖTLANDS LÄN</t>
        </is>
      </c>
      <c r="E391" t="inlineStr">
        <is>
          <t>VALDEMARSVIK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45873-2023</t>
        </is>
      </c>
      <c r="B392" s="1" t="n">
        <v>45195</v>
      </c>
      <c r="C392" s="1" t="n">
        <v>45708</v>
      </c>
      <c r="D392" t="inlineStr">
        <is>
          <t>ÖSTERGÖTLANDS LÄN</t>
        </is>
      </c>
      <c r="E392" t="inlineStr">
        <is>
          <t>VALDEMARSVIK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45783-2023</t>
        </is>
      </c>
      <c r="B393" s="1" t="n">
        <v>45195</v>
      </c>
      <c r="C393" s="1" t="n">
        <v>45708</v>
      </c>
      <c r="D393" t="inlineStr">
        <is>
          <t>ÖSTERGÖTLANDS LÄN</t>
        </is>
      </c>
      <c r="E393" t="inlineStr">
        <is>
          <t>VALDEMARSVIK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45879-2023</t>
        </is>
      </c>
      <c r="B394" s="1" t="n">
        <v>45195</v>
      </c>
      <c r="C394" s="1" t="n">
        <v>45708</v>
      </c>
      <c r="D394" t="inlineStr">
        <is>
          <t>ÖSTERGÖTLANDS LÄN</t>
        </is>
      </c>
      <c r="E394" t="inlineStr">
        <is>
          <t>VALDEMARSVIK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47202-2023</t>
        </is>
      </c>
      <c r="B395" s="1" t="n">
        <v>45202</v>
      </c>
      <c r="C395" s="1" t="n">
        <v>45708</v>
      </c>
      <c r="D395" t="inlineStr">
        <is>
          <t>ÖSTERGÖTLANDS LÄN</t>
        </is>
      </c>
      <c r="E395" t="inlineStr">
        <is>
          <t>VALDEMARSVIK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47208-2023</t>
        </is>
      </c>
      <c r="B396" s="1" t="n">
        <v>45202</v>
      </c>
      <c r="C396" s="1" t="n">
        <v>45708</v>
      </c>
      <c r="D396" t="inlineStr">
        <is>
          <t>ÖSTERGÖTLANDS LÄN</t>
        </is>
      </c>
      <c r="E396" t="inlineStr">
        <is>
          <t>VALDEMARSVIK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47265-2023</t>
        </is>
      </c>
      <c r="B397" s="1" t="n">
        <v>45202</v>
      </c>
      <c r="C397" s="1" t="n">
        <v>45708</v>
      </c>
      <c r="D397" t="inlineStr">
        <is>
          <t>ÖSTERGÖTLANDS LÄN</t>
        </is>
      </c>
      <c r="E397" t="inlineStr">
        <is>
          <t>VALDEMARSVIK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47251-2023</t>
        </is>
      </c>
      <c r="B398" s="1" t="n">
        <v>45202</v>
      </c>
      <c r="C398" s="1" t="n">
        <v>45708</v>
      </c>
      <c r="D398" t="inlineStr">
        <is>
          <t>ÖSTERGÖTLANDS LÄN</t>
        </is>
      </c>
      <c r="E398" t="inlineStr">
        <is>
          <t>VALDEMARSVIK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47259-2023</t>
        </is>
      </c>
      <c r="B399" s="1" t="n">
        <v>45202</v>
      </c>
      <c r="C399" s="1" t="n">
        <v>45708</v>
      </c>
      <c r="D399" t="inlineStr">
        <is>
          <t>ÖSTERGÖTLANDS LÄN</t>
        </is>
      </c>
      <c r="E399" t="inlineStr">
        <is>
          <t>VALDEMARSVIK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47205-2023</t>
        </is>
      </c>
      <c r="B400" s="1" t="n">
        <v>45202</v>
      </c>
      <c r="C400" s="1" t="n">
        <v>45708</v>
      </c>
      <c r="D400" t="inlineStr">
        <is>
          <t>ÖSTERGÖTLANDS LÄN</t>
        </is>
      </c>
      <c r="E400" t="inlineStr">
        <is>
          <t>VALDEMARSVIK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47210-2023</t>
        </is>
      </c>
      <c r="B401" s="1" t="n">
        <v>45202</v>
      </c>
      <c r="C401" s="1" t="n">
        <v>45708</v>
      </c>
      <c r="D401" t="inlineStr">
        <is>
          <t>ÖSTERGÖTLANDS LÄN</t>
        </is>
      </c>
      <c r="E401" t="inlineStr">
        <is>
          <t>VALDEMARSVIK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47199-2023</t>
        </is>
      </c>
      <c r="B402" s="1" t="n">
        <v>45202</v>
      </c>
      <c r="C402" s="1" t="n">
        <v>45708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47209-2023</t>
        </is>
      </c>
      <c r="B403" s="1" t="n">
        <v>45202</v>
      </c>
      <c r="C403" s="1" t="n">
        <v>45708</v>
      </c>
      <c r="D403" t="inlineStr">
        <is>
          <t>ÖSTERGÖTLANDS LÄN</t>
        </is>
      </c>
      <c r="E403" t="inlineStr">
        <is>
          <t>VALDEMARSVIK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47253-2023</t>
        </is>
      </c>
      <c r="B404" s="1" t="n">
        <v>45202</v>
      </c>
      <c r="C404" s="1" t="n">
        <v>45708</v>
      </c>
      <c r="D404" t="inlineStr">
        <is>
          <t>ÖSTERGÖTLANDS LÄN</t>
        </is>
      </c>
      <c r="E404" t="inlineStr">
        <is>
          <t>VALDEMARSVIK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47354-2023</t>
        </is>
      </c>
      <c r="B405" s="1" t="n">
        <v>45202</v>
      </c>
      <c r="C405" s="1" t="n">
        <v>45708</v>
      </c>
      <c r="D405" t="inlineStr">
        <is>
          <t>ÖSTERGÖTLANDS LÄN</t>
        </is>
      </c>
      <c r="E405" t="inlineStr">
        <is>
          <t>VALDEMARSVIK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47679-2023</t>
        </is>
      </c>
      <c r="B406" s="1" t="n">
        <v>45203</v>
      </c>
      <c r="C406" s="1" t="n">
        <v>45708</v>
      </c>
      <c r="D406" t="inlineStr">
        <is>
          <t>ÖSTERGÖTLANDS LÄN</t>
        </is>
      </c>
      <c r="E406" t="inlineStr">
        <is>
          <t>VALDEMARSVIK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47949-2023</t>
        </is>
      </c>
      <c r="B407" s="1" t="n">
        <v>45204</v>
      </c>
      <c r="C407" s="1" t="n">
        <v>45708</v>
      </c>
      <c r="D407" t="inlineStr">
        <is>
          <t>ÖSTERGÖTLANDS LÄN</t>
        </is>
      </c>
      <c r="E407" t="inlineStr">
        <is>
          <t>VALDEMARSVIK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47951-2023</t>
        </is>
      </c>
      <c r="B408" s="1" t="n">
        <v>45204</v>
      </c>
      <c r="C408" s="1" t="n">
        <v>45708</v>
      </c>
      <c r="D408" t="inlineStr">
        <is>
          <t>ÖSTERGÖTLANDS LÄN</t>
        </is>
      </c>
      <c r="E408" t="inlineStr">
        <is>
          <t>VALDEMARSVIK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47959-2023</t>
        </is>
      </c>
      <c r="B409" s="1" t="n">
        <v>45204</v>
      </c>
      <c r="C409" s="1" t="n">
        <v>45708</v>
      </c>
      <c r="D409" t="inlineStr">
        <is>
          <t>ÖSTERGÖTLANDS LÄN</t>
        </is>
      </c>
      <c r="E409" t="inlineStr">
        <is>
          <t>VALDEMARSVIK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47942-2023</t>
        </is>
      </c>
      <c r="B410" s="1" t="n">
        <v>45204</v>
      </c>
      <c r="C410" s="1" t="n">
        <v>45708</v>
      </c>
      <c r="D410" t="inlineStr">
        <is>
          <t>ÖSTERGÖTLANDS LÄN</t>
        </is>
      </c>
      <c r="E410" t="inlineStr">
        <is>
          <t>VALDEMARSVIK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47962-2023</t>
        </is>
      </c>
      <c r="B411" s="1" t="n">
        <v>45204</v>
      </c>
      <c r="C411" s="1" t="n">
        <v>45708</v>
      </c>
      <c r="D411" t="inlineStr">
        <is>
          <t>ÖSTERGÖTLANDS LÄN</t>
        </is>
      </c>
      <c r="E411" t="inlineStr">
        <is>
          <t>VALDEMARSVIK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48158-2023</t>
        </is>
      </c>
      <c r="B412" s="1" t="n">
        <v>45205</v>
      </c>
      <c r="C412" s="1" t="n">
        <v>45708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49345-2023</t>
        </is>
      </c>
      <c r="B413" s="1" t="n">
        <v>45211</v>
      </c>
      <c r="C413" s="1" t="n">
        <v>45708</v>
      </c>
      <c r="D413" t="inlineStr">
        <is>
          <t>ÖSTERGÖTLANDS LÄN</t>
        </is>
      </c>
      <c r="E413" t="inlineStr">
        <is>
          <t>VALDEMARSVIK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49344-2023</t>
        </is>
      </c>
      <c r="B414" s="1" t="n">
        <v>45211</v>
      </c>
      <c r="C414" s="1" t="n">
        <v>45708</v>
      </c>
      <c r="D414" t="inlineStr">
        <is>
          <t>ÖSTERGÖTLANDS LÄN</t>
        </is>
      </c>
      <c r="E414" t="inlineStr">
        <is>
          <t>VALDEMARSVIK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49348-2023</t>
        </is>
      </c>
      <c r="B415" s="1" t="n">
        <v>45211</v>
      </c>
      <c r="C415" s="1" t="n">
        <v>45708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50123-2023</t>
        </is>
      </c>
      <c r="B416" s="1" t="n">
        <v>45215</v>
      </c>
      <c r="C416" s="1" t="n">
        <v>45708</v>
      </c>
      <c r="D416" t="inlineStr">
        <is>
          <t>ÖSTERGÖTLANDS LÄN</t>
        </is>
      </c>
      <c r="E416" t="inlineStr">
        <is>
          <t>VALDEMARSVIK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50148-2023</t>
        </is>
      </c>
      <c r="B417" s="1" t="n">
        <v>45215</v>
      </c>
      <c r="C417" s="1" t="n">
        <v>45708</v>
      </c>
      <c r="D417" t="inlineStr">
        <is>
          <t>ÖSTERGÖTLANDS LÄN</t>
        </is>
      </c>
      <c r="E417" t="inlineStr">
        <is>
          <t>VALDEMARSVIK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50041-2023</t>
        </is>
      </c>
      <c r="B418" s="1" t="n">
        <v>45215</v>
      </c>
      <c r="C418" s="1" t="n">
        <v>45708</v>
      </c>
      <c r="D418" t="inlineStr">
        <is>
          <t>ÖSTERGÖTLANDS LÄN</t>
        </is>
      </c>
      <c r="E418" t="inlineStr">
        <is>
          <t>VALDEMARSVIK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50992-2023</t>
        </is>
      </c>
      <c r="B419" s="1" t="n">
        <v>45218</v>
      </c>
      <c r="C419" s="1" t="n">
        <v>45708</v>
      </c>
      <c r="D419" t="inlineStr">
        <is>
          <t>ÖSTERGÖTLANDS LÄN</t>
        </is>
      </c>
      <c r="E419" t="inlineStr">
        <is>
          <t>VALDEMARSVIK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51906-2023</t>
        </is>
      </c>
      <c r="B420" s="1" t="n">
        <v>45223</v>
      </c>
      <c r="C420" s="1" t="n">
        <v>45708</v>
      </c>
      <c r="D420" t="inlineStr">
        <is>
          <t>ÖSTERGÖTLANDS LÄN</t>
        </is>
      </c>
      <c r="E420" t="inlineStr">
        <is>
          <t>VALDEMARSVIK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53439-2023</t>
        </is>
      </c>
      <c r="B421" s="1" t="n">
        <v>45223</v>
      </c>
      <c r="C421" s="1" t="n">
        <v>45708</v>
      </c>
      <c r="D421" t="inlineStr">
        <is>
          <t>ÖSTERGÖTLANDS LÄN</t>
        </is>
      </c>
      <c r="E421" t="inlineStr">
        <is>
          <t>VALDEMARSVIK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52428-2023</t>
        </is>
      </c>
      <c r="B422" s="1" t="n">
        <v>45225</v>
      </c>
      <c r="C422" s="1" t="n">
        <v>45708</v>
      </c>
      <c r="D422" t="inlineStr">
        <is>
          <t>ÖSTERGÖTLANDS LÄN</t>
        </is>
      </c>
      <c r="E422" t="inlineStr">
        <is>
          <t>VALDEMARSVIK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52432-2023</t>
        </is>
      </c>
      <c r="B423" s="1" t="n">
        <v>45225</v>
      </c>
      <c r="C423" s="1" t="n">
        <v>45708</v>
      </c>
      <c r="D423" t="inlineStr">
        <is>
          <t>ÖSTERGÖTLANDS LÄN</t>
        </is>
      </c>
      <c r="E423" t="inlineStr">
        <is>
          <t>VALDEMARSVIK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52430-2023</t>
        </is>
      </c>
      <c r="B424" s="1" t="n">
        <v>45225</v>
      </c>
      <c r="C424" s="1" t="n">
        <v>45708</v>
      </c>
      <c r="D424" t="inlineStr">
        <is>
          <t>ÖSTERGÖTLANDS LÄN</t>
        </is>
      </c>
      <c r="E424" t="inlineStr">
        <is>
          <t>VALDEMARSVIK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53111-2023</t>
        </is>
      </c>
      <c r="B425" s="1" t="n">
        <v>45228</v>
      </c>
      <c r="C425" s="1" t="n">
        <v>45708</v>
      </c>
      <c r="D425" t="inlineStr">
        <is>
          <t>ÖSTERGÖTLANDS LÄN</t>
        </is>
      </c>
      <c r="E425" t="inlineStr">
        <is>
          <t>VALDEMARSVIK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53112-2023</t>
        </is>
      </c>
      <c r="B426" s="1" t="n">
        <v>45228</v>
      </c>
      <c r="C426" s="1" t="n">
        <v>45708</v>
      </c>
      <c r="D426" t="inlineStr">
        <is>
          <t>ÖSTERGÖTLANDS LÄN</t>
        </is>
      </c>
      <c r="E426" t="inlineStr">
        <is>
          <t>VALDEMARSVIK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54856-2023</t>
        </is>
      </c>
      <c r="B427" s="1" t="n">
        <v>45236</v>
      </c>
      <c r="C427" s="1" t="n">
        <v>45708</v>
      </c>
      <c r="D427" t="inlineStr">
        <is>
          <t>ÖSTERGÖTLANDS LÄN</t>
        </is>
      </c>
      <c r="E427" t="inlineStr">
        <is>
          <t>VALDEMARSVIK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54929-2023</t>
        </is>
      </c>
      <c r="B428" s="1" t="n">
        <v>45236</v>
      </c>
      <c r="C428" s="1" t="n">
        <v>45708</v>
      </c>
      <c r="D428" t="inlineStr">
        <is>
          <t>ÖSTERGÖTLANDS LÄN</t>
        </is>
      </c>
      <c r="E428" t="inlineStr">
        <is>
          <t>VALDEMARSVIK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54855-2023</t>
        </is>
      </c>
      <c r="B429" s="1" t="n">
        <v>45236</v>
      </c>
      <c r="C429" s="1" t="n">
        <v>45708</v>
      </c>
      <c r="D429" t="inlineStr">
        <is>
          <t>ÖSTERGÖTLANDS LÄN</t>
        </is>
      </c>
      <c r="E429" t="inlineStr">
        <is>
          <t>VALDEMARSVIK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54861-2023</t>
        </is>
      </c>
      <c r="B430" s="1" t="n">
        <v>45236</v>
      </c>
      <c r="C430" s="1" t="n">
        <v>45708</v>
      </c>
      <c r="D430" t="inlineStr">
        <is>
          <t>ÖSTERGÖTLANDS LÄN</t>
        </is>
      </c>
      <c r="E430" t="inlineStr">
        <is>
          <t>VALDEMARSVIK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54849-2023</t>
        </is>
      </c>
      <c r="B431" s="1" t="n">
        <v>45236</v>
      </c>
      <c r="C431" s="1" t="n">
        <v>45708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54918-2023</t>
        </is>
      </c>
      <c r="B432" s="1" t="n">
        <v>45236</v>
      </c>
      <c r="C432" s="1" t="n">
        <v>45708</v>
      </c>
      <c r="D432" t="inlineStr">
        <is>
          <t>ÖSTERGÖTLANDS LÄN</t>
        </is>
      </c>
      <c r="E432" t="inlineStr">
        <is>
          <t>VALDEMARSVIK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55621-2023</t>
        </is>
      </c>
      <c r="B433" s="1" t="n">
        <v>45238</v>
      </c>
      <c r="C433" s="1" t="n">
        <v>45708</v>
      </c>
      <c r="D433" t="inlineStr">
        <is>
          <t>ÖSTERGÖTLANDS LÄN</t>
        </is>
      </c>
      <c r="E433" t="inlineStr">
        <is>
          <t>VALDEMARSVIK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55620-2023</t>
        </is>
      </c>
      <c r="B434" s="1" t="n">
        <v>45238</v>
      </c>
      <c r="C434" s="1" t="n">
        <v>45708</v>
      </c>
      <c r="D434" t="inlineStr">
        <is>
          <t>ÖSTERGÖTLANDS LÄN</t>
        </is>
      </c>
      <c r="E434" t="inlineStr">
        <is>
          <t>VALDEMARSVIK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56014-2023</t>
        </is>
      </c>
      <c r="B435" s="1" t="n">
        <v>45240</v>
      </c>
      <c r="C435" s="1" t="n">
        <v>45708</v>
      </c>
      <c r="D435" t="inlineStr">
        <is>
          <t>ÖSTERGÖTLANDS LÄN</t>
        </is>
      </c>
      <c r="E435" t="inlineStr">
        <is>
          <t>VALDEMARSVIK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56922-2023</t>
        </is>
      </c>
      <c r="B436" s="1" t="n">
        <v>45244</v>
      </c>
      <c r="C436" s="1" t="n">
        <v>45708</v>
      </c>
      <c r="D436" t="inlineStr">
        <is>
          <t>ÖSTERGÖTLANDS LÄN</t>
        </is>
      </c>
      <c r="E436" t="inlineStr">
        <is>
          <t>VALDEMARSVIK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56913-2023</t>
        </is>
      </c>
      <c r="B437" s="1" t="n">
        <v>45244</v>
      </c>
      <c r="C437" s="1" t="n">
        <v>45708</v>
      </c>
      <c r="D437" t="inlineStr">
        <is>
          <t>ÖSTERGÖTLANDS LÄN</t>
        </is>
      </c>
      <c r="E437" t="inlineStr">
        <is>
          <t>VALDEMARSVIK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56916-2023</t>
        </is>
      </c>
      <c r="B438" s="1" t="n">
        <v>45244</v>
      </c>
      <c r="C438" s="1" t="n">
        <v>45708</v>
      </c>
      <c r="D438" t="inlineStr">
        <is>
          <t>ÖSTERGÖTLANDS LÄN</t>
        </is>
      </c>
      <c r="E438" t="inlineStr">
        <is>
          <t>VALDEMARSVIK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56919-2023</t>
        </is>
      </c>
      <c r="B439" s="1" t="n">
        <v>45244</v>
      </c>
      <c r="C439" s="1" t="n">
        <v>45708</v>
      </c>
      <c r="D439" t="inlineStr">
        <is>
          <t>ÖSTERGÖTLANDS LÄN</t>
        </is>
      </c>
      <c r="E439" t="inlineStr">
        <is>
          <t>VALDEMARSVIK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58231-2023</t>
        </is>
      </c>
      <c r="B440" s="1" t="n">
        <v>45245</v>
      </c>
      <c r="C440" s="1" t="n">
        <v>45708</v>
      </c>
      <c r="D440" t="inlineStr">
        <is>
          <t>ÖSTERGÖTLANDS LÄN</t>
        </is>
      </c>
      <c r="E440" t="inlineStr">
        <is>
          <t>VALDEMARSVIK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57862-2023</t>
        </is>
      </c>
      <c r="B441" s="1" t="n">
        <v>45247</v>
      </c>
      <c r="C441" s="1" t="n">
        <v>45708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58105-2023</t>
        </is>
      </c>
      <c r="B442" s="1" t="n">
        <v>45249</v>
      </c>
      <c r="C442" s="1" t="n">
        <v>45708</v>
      </c>
      <c r="D442" t="inlineStr">
        <is>
          <t>ÖSTERGÖTLANDS LÄN</t>
        </is>
      </c>
      <c r="E442" t="inlineStr">
        <is>
          <t>VALDEMARSVIK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59516-2023</t>
        </is>
      </c>
      <c r="B443" s="1" t="n">
        <v>45254</v>
      </c>
      <c r="C443" s="1" t="n">
        <v>45708</v>
      </c>
      <c r="D443" t="inlineStr">
        <is>
          <t>ÖSTERGÖTLANDS LÄN</t>
        </is>
      </c>
      <c r="E443" t="inlineStr">
        <is>
          <t>VALDEMARSVIK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59741-2023</t>
        </is>
      </c>
      <c r="B444" s="1" t="n">
        <v>45257</v>
      </c>
      <c r="C444" s="1" t="n">
        <v>45708</v>
      </c>
      <c r="D444" t="inlineStr">
        <is>
          <t>ÖSTERGÖTLANDS LÄN</t>
        </is>
      </c>
      <c r="E444" t="inlineStr">
        <is>
          <t>VALDEMARSVIK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59737-2023</t>
        </is>
      </c>
      <c r="B445" s="1" t="n">
        <v>45257</v>
      </c>
      <c r="C445" s="1" t="n">
        <v>45708</v>
      </c>
      <c r="D445" t="inlineStr">
        <is>
          <t>ÖSTERGÖTLANDS LÄN</t>
        </is>
      </c>
      <c r="E445" t="inlineStr">
        <is>
          <t>VALDEMARSVIK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60288-2023</t>
        </is>
      </c>
      <c r="B446" s="1" t="n">
        <v>45258</v>
      </c>
      <c r="C446" s="1" t="n">
        <v>45708</v>
      </c>
      <c r="D446" t="inlineStr">
        <is>
          <t>ÖSTERGÖTLANDS LÄN</t>
        </is>
      </c>
      <c r="E446" t="inlineStr">
        <is>
          <t>VALDEMARSVIK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60285-2023</t>
        </is>
      </c>
      <c r="B447" s="1" t="n">
        <v>45258</v>
      </c>
      <c r="C447" s="1" t="n">
        <v>45708</v>
      </c>
      <c r="D447" t="inlineStr">
        <is>
          <t>ÖSTERGÖTLANDS LÄN</t>
        </is>
      </c>
      <c r="E447" t="inlineStr">
        <is>
          <t>VALDEMARSVIK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60286-2023</t>
        </is>
      </c>
      <c r="B448" s="1" t="n">
        <v>45258</v>
      </c>
      <c r="C448" s="1" t="n">
        <v>45708</v>
      </c>
      <c r="D448" t="inlineStr">
        <is>
          <t>ÖSTERGÖTLANDS LÄN</t>
        </is>
      </c>
      <c r="E448" t="inlineStr">
        <is>
          <t>VALDEMARSVIK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60745-2023</t>
        </is>
      </c>
      <c r="B449" s="1" t="n">
        <v>45260</v>
      </c>
      <c r="C449" s="1" t="n">
        <v>45708</v>
      </c>
      <c r="D449" t="inlineStr">
        <is>
          <t>ÖSTERGÖTLANDS LÄN</t>
        </is>
      </c>
      <c r="E449" t="inlineStr">
        <is>
          <t>VALDEMARSVIK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60914-2023</t>
        </is>
      </c>
      <c r="B450" s="1" t="n">
        <v>45261</v>
      </c>
      <c r="C450" s="1" t="n">
        <v>45708</v>
      </c>
      <c r="D450" t="inlineStr">
        <is>
          <t>ÖSTERGÖTLANDS LÄN</t>
        </is>
      </c>
      <c r="E450" t="inlineStr">
        <is>
          <t>VALDEMARSVIK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62914-2023</t>
        </is>
      </c>
      <c r="B451" s="1" t="n">
        <v>45271</v>
      </c>
      <c r="C451" s="1" t="n">
        <v>45708</v>
      </c>
      <c r="D451" t="inlineStr">
        <is>
          <t>ÖSTERGÖTLANDS LÄN</t>
        </is>
      </c>
      <c r="E451" t="inlineStr">
        <is>
          <t>VALDEMARSVIK</t>
        </is>
      </c>
      <c r="F451" t="inlineStr">
        <is>
          <t>Övriga Aktiebolag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63153-2023</t>
        </is>
      </c>
      <c r="B452" s="1" t="n">
        <v>45273</v>
      </c>
      <c r="C452" s="1" t="n">
        <v>45708</v>
      </c>
      <c r="D452" t="inlineStr">
        <is>
          <t>ÖSTERGÖTLANDS LÄN</t>
        </is>
      </c>
      <c r="E452" t="inlineStr">
        <is>
          <t>VALDEMARSVIK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63155-2023</t>
        </is>
      </c>
      <c r="B453" s="1" t="n">
        <v>45273</v>
      </c>
      <c r="C453" s="1" t="n">
        <v>45708</v>
      </c>
      <c r="D453" t="inlineStr">
        <is>
          <t>ÖSTERGÖTLANDS LÄN</t>
        </is>
      </c>
      <c r="E453" t="inlineStr">
        <is>
          <t>VALDEMARSVIK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63154-2023</t>
        </is>
      </c>
      <c r="B454" s="1" t="n">
        <v>45273</v>
      </c>
      <c r="C454" s="1" t="n">
        <v>45708</v>
      </c>
      <c r="D454" t="inlineStr">
        <is>
          <t>ÖSTERGÖTLANDS LÄN</t>
        </is>
      </c>
      <c r="E454" t="inlineStr">
        <is>
          <t>VALDEMARSVIK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65113-2023</t>
        </is>
      </c>
      <c r="B455" s="1" t="n">
        <v>45287</v>
      </c>
      <c r="C455" s="1" t="n">
        <v>45708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1773-2024</t>
        </is>
      </c>
      <c r="B456" s="1" t="n">
        <v>45307</v>
      </c>
      <c r="C456" s="1" t="n">
        <v>45708</v>
      </c>
      <c r="D456" t="inlineStr">
        <is>
          <t>ÖSTERGÖTLANDS LÄN</t>
        </is>
      </c>
      <c r="E456" t="inlineStr">
        <is>
          <t>VALDEMARSVIK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1968-2024</t>
        </is>
      </c>
      <c r="B457" s="1" t="n">
        <v>45308</v>
      </c>
      <c r="C457" s="1" t="n">
        <v>45708</v>
      </c>
      <c r="D457" t="inlineStr">
        <is>
          <t>ÖSTERGÖTLANDS LÄN</t>
        </is>
      </c>
      <c r="E457" t="inlineStr">
        <is>
          <t>VALDEMARSVIK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2336-2024</t>
        </is>
      </c>
      <c r="B458" s="1" t="n">
        <v>45310</v>
      </c>
      <c r="C458" s="1" t="n">
        <v>45708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3276-2024</t>
        </is>
      </c>
      <c r="B459" s="1" t="n">
        <v>45317</v>
      </c>
      <c r="C459" s="1" t="n">
        <v>45708</v>
      </c>
      <c r="D459" t="inlineStr">
        <is>
          <t>ÖSTERGÖTLANDS LÄN</t>
        </is>
      </c>
      <c r="E459" t="inlineStr">
        <is>
          <t>VALDEMARSVIK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3275-2024</t>
        </is>
      </c>
      <c r="B460" s="1" t="n">
        <v>45317</v>
      </c>
      <c r="C460" s="1" t="n">
        <v>45708</v>
      </c>
      <c r="D460" t="inlineStr">
        <is>
          <t>ÖSTERGÖTLANDS LÄN</t>
        </is>
      </c>
      <c r="E460" t="inlineStr">
        <is>
          <t>VALDEMARSVIK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4148-2024</t>
        </is>
      </c>
      <c r="B461" s="1" t="n">
        <v>45323</v>
      </c>
      <c r="C461" s="1" t="n">
        <v>45708</v>
      </c>
      <c r="D461" t="inlineStr">
        <is>
          <t>ÖSTERGÖTLANDS LÄN</t>
        </is>
      </c>
      <c r="E461" t="inlineStr">
        <is>
          <t>VALDEMARSVIK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4562-2024</t>
        </is>
      </c>
      <c r="B462" s="1" t="n">
        <v>45327</v>
      </c>
      <c r="C462" s="1" t="n">
        <v>45708</v>
      </c>
      <c r="D462" t="inlineStr">
        <is>
          <t>ÖSTERGÖTLANDS LÄN</t>
        </is>
      </c>
      <c r="E462" t="inlineStr">
        <is>
          <t>VALDEMARSVIK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4770-2024</t>
        </is>
      </c>
      <c r="B463" s="1" t="n">
        <v>45328</v>
      </c>
      <c r="C463" s="1" t="n">
        <v>45708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5895-2024</t>
        </is>
      </c>
      <c r="B464" s="1" t="n">
        <v>45335</v>
      </c>
      <c r="C464" s="1" t="n">
        <v>45708</v>
      </c>
      <c r="D464" t="inlineStr">
        <is>
          <t>ÖSTERGÖTLANDS LÄN</t>
        </is>
      </c>
      <c r="E464" t="inlineStr">
        <is>
          <t>VALDEMARSVIK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5889-2024</t>
        </is>
      </c>
      <c r="B465" s="1" t="n">
        <v>45335</v>
      </c>
      <c r="C465" s="1" t="n">
        <v>45708</v>
      </c>
      <c r="D465" t="inlineStr">
        <is>
          <t>ÖSTERGÖTLANDS LÄN</t>
        </is>
      </c>
      <c r="E465" t="inlineStr">
        <is>
          <t>VALDEMARSVIK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6022-2024</t>
        </is>
      </c>
      <c r="B466" s="1" t="n">
        <v>45336</v>
      </c>
      <c r="C466" s="1" t="n">
        <v>45708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6004-2024</t>
        </is>
      </c>
      <c r="B467" s="1" t="n">
        <v>45336</v>
      </c>
      <c r="C467" s="1" t="n">
        <v>45708</v>
      </c>
      <c r="D467" t="inlineStr">
        <is>
          <t>ÖSTERGÖTLANDS LÄN</t>
        </is>
      </c>
      <c r="E467" t="inlineStr">
        <is>
          <t>VALDEMARSVIK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6033-2024</t>
        </is>
      </c>
      <c r="B468" s="1" t="n">
        <v>45336</v>
      </c>
      <c r="C468" s="1" t="n">
        <v>45708</v>
      </c>
      <c r="D468" t="inlineStr">
        <is>
          <t>ÖSTERGÖTLANDS LÄN</t>
        </is>
      </c>
      <c r="E468" t="inlineStr">
        <is>
          <t>VALDEMARSVIK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6039-2024</t>
        </is>
      </c>
      <c r="B469" s="1" t="n">
        <v>45336</v>
      </c>
      <c r="C469" s="1" t="n">
        <v>45708</v>
      </c>
      <c r="D469" t="inlineStr">
        <is>
          <t>ÖSTERGÖTLANDS LÄN</t>
        </is>
      </c>
      <c r="E469" t="inlineStr">
        <is>
          <t>VALDEMARSVIK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6194-2024</t>
        </is>
      </c>
      <c r="B470" s="1" t="n">
        <v>45337</v>
      </c>
      <c r="C470" s="1" t="n">
        <v>45708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6131-2024</t>
        </is>
      </c>
      <c r="B471" s="1" t="n">
        <v>45337</v>
      </c>
      <c r="C471" s="1" t="n">
        <v>45708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6170-2024</t>
        </is>
      </c>
      <c r="B472" s="1" t="n">
        <v>45337</v>
      </c>
      <c r="C472" s="1" t="n">
        <v>45708</v>
      </c>
      <c r="D472" t="inlineStr">
        <is>
          <t>ÖSTERGÖTLANDS LÄN</t>
        </is>
      </c>
      <c r="E472" t="inlineStr">
        <is>
          <t>VALDEMARSVIK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6126-2024</t>
        </is>
      </c>
      <c r="B473" s="1" t="n">
        <v>45337</v>
      </c>
      <c r="C473" s="1" t="n">
        <v>45708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6498-2024</t>
        </is>
      </c>
      <c r="B474" s="1" t="n">
        <v>45339</v>
      </c>
      <c r="C474" s="1" t="n">
        <v>45708</v>
      </c>
      <c r="D474" t="inlineStr">
        <is>
          <t>ÖSTERGÖTLANDS LÄN</t>
        </is>
      </c>
      <c r="E474" t="inlineStr">
        <is>
          <t>VALDEMARSVIK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6502-2024</t>
        </is>
      </c>
      <c r="B475" s="1" t="n">
        <v>45339</v>
      </c>
      <c r="C475" s="1" t="n">
        <v>45708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7237-2024</t>
        </is>
      </c>
      <c r="B476" s="1" t="n">
        <v>45344</v>
      </c>
      <c r="C476" s="1" t="n">
        <v>45708</v>
      </c>
      <c r="D476" t="inlineStr">
        <is>
          <t>ÖSTERGÖTLANDS LÄN</t>
        </is>
      </c>
      <c r="E476" t="inlineStr">
        <is>
          <t>VALDEMARSVIK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7321-2024</t>
        </is>
      </c>
      <c r="B477" s="1" t="n">
        <v>45345</v>
      </c>
      <c r="C477" s="1" t="n">
        <v>45708</v>
      </c>
      <c r="D477" t="inlineStr">
        <is>
          <t>ÖSTERGÖTLANDS LÄN</t>
        </is>
      </c>
      <c r="E477" t="inlineStr">
        <is>
          <t>VALDEMARSVIK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8009-2024</t>
        </is>
      </c>
      <c r="B478" s="1" t="n">
        <v>45350</v>
      </c>
      <c r="C478" s="1" t="n">
        <v>45708</v>
      </c>
      <c r="D478" t="inlineStr">
        <is>
          <t>ÖSTERGÖTLANDS LÄN</t>
        </is>
      </c>
      <c r="E478" t="inlineStr">
        <is>
          <t>VALDEMARSVIK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8328-2024</t>
        </is>
      </c>
      <c r="B479" s="1" t="n">
        <v>45352</v>
      </c>
      <c r="C479" s="1" t="n">
        <v>45708</v>
      </c>
      <c r="D479" t="inlineStr">
        <is>
          <t>ÖSTERGÖTLANDS LÄN</t>
        </is>
      </c>
      <c r="E479" t="inlineStr">
        <is>
          <t>VALDEMARSVIK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8678-2024</t>
        </is>
      </c>
      <c r="B480" s="1" t="n">
        <v>45354</v>
      </c>
      <c r="C480" s="1" t="n">
        <v>45708</v>
      </c>
      <c r="D480" t="inlineStr">
        <is>
          <t>ÖSTERGÖTLANDS LÄN</t>
        </is>
      </c>
      <c r="E480" t="inlineStr">
        <is>
          <t>VALDEMARSVIK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8543-2024</t>
        </is>
      </c>
      <c r="B481" s="1" t="n">
        <v>45355</v>
      </c>
      <c r="C481" s="1" t="n">
        <v>45708</v>
      </c>
      <c r="D481" t="inlineStr">
        <is>
          <t>ÖSTERGÖTLANDS LÄN</t>
        </is>
      </c>
      <c r="E481" t="inlineStr">
        <is>
          <t>VALDEMARSVIK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8557-2024</t>
        </is>
      </c>
      <c r="B482" s="1" t="n">
        <v>45355</v>
      </c>
      <c r="C482" s="1" t="n">
        <v>45708</v>
      </c>
      <c r="D482" t="inlineStr">
        <is>
          <t>ÖSTERGÖTLANDS LÄN</t>
        </is>
      </c>
      <c r="E482" t="inlineStr">
        <is>
          <t>VALDEMARSVIK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8890-2024</t>
        </is>
      </c>
      <c r="B483" s="1" t="n">
        <v>45357</v>
      </c>
      <c r="C483" s="1" t="n">
        <v>45708</v>
      </c>
      <c r="D483" t="inlineStr">
        <is>
          <t>ÖSTERGÖTLANDS LÄN</t>
        </is>
      </c>
      <c r="E483" t="inlineStr">
        <is>
          <t>VALDEMARSVIK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12998-2024</t>
        </is>
      </c>
      <c r="B484" s="1" t="n">
        <v>45385</v>
      </c>
      <c r="C484" s="1" t="n">
        <v>45708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12996-2024</t>
        </is>
      </c>
      <c r="B485" s="1" t="n">
        <v>45385</v>
      </c>
      <c r="C485" s="1" t="n">
        <v>45708</v>
      </c>
      <c r="D485" t="inlineStr">
        <is>
          <t>ÖSTERGÖTLANDS LÄN</t>
        </is>
      </c>
      <c r="E485" t="inlineStr">
        <is>
          <t>VALDEMARSVIK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12975-2024</t>
        </is>
      </c>
      <c r="B486" s="1" t="n">
        <v>45385</v>
      </c>
      <c r="C486" s="1" t="n">
        <v>45708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12979-2024</t>
        </is>
      </c>
      <c r="B487" s="1" t="n">
        <v>45385</v>
      </c>
      <c r="C487" s="1" t="n">
        <v>45708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12983-2024</t>
        </is>
      </c>
      <c r="B488" s="1" t="n">
        <v>45385</v>
      </c>
      <c r="C488" s="1" t="n">
        <v>45708</v>
      </c>
      <c r="D488" t="inlineStr">
        <is>
          <t>ÖSTERGÖTLANDS LÄN</t>
        </is>
      </c>
      <c r="E488" t="inlineStr">
        <is>
          <t>VALDEMARSVIK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12977-2024</t>
        </is>
      </c>
      <c r="B489" s="1" t="n">
        <v>45385</v>
      </c>
      <c r="C489" s="1" t="n">
        <v>45708</v>
      </c>
      <c r="D489" t="inlineStr">
        <is>
          <t>ÖSTERGÖTLANDS LÄN</t>
        </is>
      </c>
      <c r="E489" t="inlineStr">
        <is>
          <t>VALDEMARSVIK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13108-2024</t>
        </is>
      </c>
      <c r="B490" s="1" t="n">
        <v>45385</v>
      </c>
      <c r="C490" s="1" t="n">
        <v>45708</v>
      </c>
      <c r="D490" t="inlineStr">
        <is>
          <t>ÖSTERGÖTLANDS LÄN</t>
        </is>
      </c>
      <c r="E490" t="inlineStr">
        <is>
          <t>VALDEMARSVIK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13187-2024</t>
        </is>
      </c>
      <c r="B491" s="1" t="n">
        <v>45386</v>
      </c>
      <c r="C491" s="1" t="n">
        <v>45708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13188-2024</t>
        </is>
      </c>
      <c r="B492" s="1" t="n">
        <v>45386</v>
      </c>
      <c r="C492" s="1" t="n">
        <v>45708</v>
      </c>
      <c r="D492" t="inlineStr">
        <is>
          <t>ÖSTERGÖTLANDS LÄN</t>
        </is>
      </c>
      <c r="E492" t="inlineStr">
        <is>
          <t>VALDEMARSVIK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13776-2024</t>
        </is>
      </c>
      <c r="B493" s="1" t="n">
        <v>45391</v>
      </c>
      <c r="C493" s="1" t="n">
        <v>45708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14417-2024</t>
        </is>
      </c>
      <c r="B494" s="1" t="n">
        <v>45394</v>
      </c>
      <c r="C494" s="1" t="n">
        <v>45708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14419-2024</t>
        </is>
      </c>
      <c r="B495" s="1" t="n">
        <v>45394</v>
      </c>
      <c r="C495" s="1" t="n">
        <v>45708</v>
      </c>
      <c r="D495" t="inlineStr">
        <is>
          <t>ÖSTERGÖTLANDS LÄN</t>
        </is>
      </c>
      <c r="E495" t="inlineStr">
        <is>
          <t>VALDEMARSVIK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14723-2024</t>
        </is>
      </c>
      <c r="B496" s="1" t="n">
        <v>45397</v>
      </c>
      <c r="C496" s="1" t="n">
        <v>45708</v>
      </c>
      <c r="D496" t="inlineStr">
        <is>
          <t>ÖSTERGÖTLANDS LÄN</t>
        </is>
      </c>
      <c r="E496" t="inlineStr">
        <is>
          <t>VALDEMARSVIK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14720-2024</t>
        </is>
      </c>
      <c r="B497" s="1" t="n">
        <v>45397</v>
      </c>
      <c r="C497" s="1" t="n">
        <v>45708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15112-2024</t>
        </is>
      </c>
      <c r="B498" s="1" t="n">
        <v>45399</v>
      </c>
      <c r="C498" s="1" t="n">
        <v>45708</v>
      </c>
      <c r="D498" t="inlineStr">
        <is>
          <t>ÖSTERGÖTLANDS LÄN</t>
        </is>
      </c>
      <c r="E498" t="inlineStr">
        <is>
          <t>VALDEMARSVIK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15660-2024</t>
        </is>
      </c>
      <c r="B499" s="1" t="n">
        <v>45404</v>
      </c>
      <c r="C499" s="1" t="n">
        <v>45708</v>
      </c>
      <c r="D499" t="inlineStr">
        <is>
          <t>ÖSTERGÖTLANDS LÄN</t>
        </is>
      </c>
      <c r="E499" t="inlineStr">
        <is>
          <t>VALDEMARSVIK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15744-2024</t>
        </is>
      </c>
      <c r="B500" s="1" t="n">
        <v>45404</v>
      </c>
      <c r="C500" s="1" t="n">
        <v>45708</v>
      </c>
      <c r="D500" t="inlineStr">
        <is>
          <t>ÖSTERGÖTLANDS LÄN</t>
        </is>
      </c>
      <c r="E500" t="inlineStr">
        <is>
          <t>VALDEMARSVIK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15776-2024</t>
        </is>
      </c>
      <c r="B501" s="1" t="n">
        <v>45404</v>
      </c>
      <c r="C501" s="1" t="n">
        <v>45708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15648-2024</t>
        </is>
      </c>
      <c r="B502" s="1" t="n">
        <v>45404</v>
      </c>
      <c r="C502" s="1" t="n">
        <v>45708</v>
      </c>
      <c r="D502" t="inlineStr">
        <is>
          <t>ÖSTERGÖTLANDS LÄN</t>
        </is>
      </c>
      <c r="E502" t="inlineStr">
        <is>
          <t>VALDEMARSVIK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15731-2024</t>
        </is>
      </c>
      <c r="B503" s="1" t="n">
        <v>45404</v>
      </c>
      <c r="C503" s="1" t="n">
        <v>45708</v>
      </c>
      <c r="D503" t="inlineStr">
        <is>
          <t>ÖSTERGÖTLANDS LÄN</t>
        </is>
      </c>
      <c r="E503" t="inlineStr">
        <is>
          <t>VALDEMARSVIK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15779-2024</t>
        </is>
      </c>
      <c r="B504" s="1" t="n">
        <v>45404</v>
      </c>
      <c r="C504" s="1" t="n">
        <v>45708</v>
      </c>
      <c r="D504" t="inlineStr">
        <is>
          <t>ÖSTERGÖTLANDS LÄN</t>
        </is>
      </c>
      <c r="E504" t="inlineStr">
        <is>
          <t>VALDEMARSVIK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15783-2024</t>
        </is>
      </c>
      <c r="B505" s="1" t="n">
        <v>45404</v>
      </c>
      <c r="C505" s="1" t="n">
        <v>45708</v>
      </c>
      <c r="D505" t="inlineStr">
        <is>
          <t>ÖSTERGÖTLANDS LÄN</t>
        </is>
      </c>
      <c r="E505" t="inlineStr">
        <is>
          <t>VALDEMARSVIK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15787-2024</t>
        </is>
      </c>
      <c r="B506" s="1" t="n">
        <v>45404</v>
      </c>
      <c r="C506" s="1" t="n">
        <v>45708</v>
      </c>
      <c r="D506" t="inlineStr">
        <is>
          <t>ÖSTERGÖTLANDS LÄN</t>
        </is>
      </c>
      <c r="E506" t="inlineStr">
        <is>
          <t>VALDEMARSVIK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16405-2024</t>
        </is>
      </c>
      <c r="B507" s="1" t="n">
        <v>45407</v>
      </c>
      <c r="C507" s="1" t="n">
        <v>45708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16404-2024</t>
        </is>
      </c>
      <c r="B508" s="1" t="n">
        <v>45407</v>
      </c>
      <c r="C508" s="1" t="n">
        <v>45708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16613-2024</t>
        </is>
      </c>
      <c r="B509" s="1" t="n">
        <v>45408</v>
      </c>
      <c r="C509" s="1" t="n">
        <v>45708</v>
      </c>
      <c r="D509" t="inlineStr">
        <is>
          <t>ÖSTERGÖTLANDS LÄN</t>
        </is>
      </c>
      <c r="E509" t="inlineStr">
        <is>
          <t>VALDEMARSVIK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16942-2024</t>
        </is>
      </c>
      <c r="B510" s="1" t="n">
        <v>45411</v>
      </c>
      <c r="C510" s="1" t="n">
        <v>45708</v>
      </c>
      <c r="D510" t="inlineStr">
        <is>
          <t>ÖSTERGÖTLANDS LÄN</t>
        </is>
      </c>
      <c r="E510" t="inlineStr">
        <is>
          <t>VALDEMARSVIK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16771-2024</t>
        </is>
      </c>
      <c r="B511" s="1" t="n">
        <v>45411</v>
      </c>
      <c r="C511" s="1" t="n">
        <v>45708</v>
      </c>
      <c r="D511" t="inlineStr">
        <is>
          <t>ÖSTERGÖTLANDS LÄN</t>
        </is>
      </c>
      <c r="E511" t="inlineStr">
        <is>
          <t>VALDEMARSVIK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16828-2024</t>
        </is>
      </c>
      <c r="B512" s="1" t="n">
        <v>45411</v>
      </c>
      <c r="C512" s="1" t="n">
        <v>45708</v>
      </c>
      <c r="D512" t="inlineStr">
        <is>
          <t>ÖSTERGÖTLANDS LÄN</t>
        </is>
      </c>
      <c r="E512" t="inlineStr">
        <is>
          <t>VALDEMARSVIK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16940-2024</t>
        </is>
      </c>
      <c r="B513" s="1" t="n">
        <v>45411</v>
      </c>
      <c r="C513" s="1" t="n">
        <v>45708</v>
      </c>
      <c r="D513" t="inlineStr">
        <is>
          <t>ÖSTERGÖTLANDS LÄN</t>
        </is>
      </c>
      <c r="E513" t="inlineStr">
        <is>
          <t>VALDEMARSVIK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16774-2024</t>
        </is>
      </c>
      <c r="B514" s="1" t="n">
        <v>45411</v>
      </c>
      <c r="C514" s="1" t="n">
        <v>45708</v>
      </c>
      <c r="D514" t="inlineStr">
        <is>
          <t>ÖSTERGÖTLANDS LÄN</t>
        </is>
      </c>
      <c r="E514" t="inlineStr">
        <is>
          <t>VALDEMARSVIK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17383-2024</t>
        </is>
      </c>
      <c r="B515" s="1" t="n">
        <v>45414</v>
      </c>
      <c r="C515" s="1" t="n">
        <v>45708</v>
      </c>
      <c r="D515" t="inlineStr">
        <is>
          <t>ÖSTERGÖTLANDS LÄN</t>
        </is>
      </c>
      <c r="E515" t="inlineStr">
        <is>
          <t>VALDEMARSVIK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18583-2024</t>
        </is>
      </c>
      <c r="B516" s="1" t="n">
        <v>45425</v>
      </c>
      <c r="C516" s="1" t="n">
        <v>45708</v>
      </c>
      <c r="D516" t="inlineStr">
        <is>
          <t>ÖSTERGÖTLANDS LÄN</t>
        </is>
      </c>
      <c r="E516" t="inlineStr">
        <is>
          <t>VALDEMARSVIK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19745-2024</t>
        </is>
      </c>
      <c r="B517" s="1" t="n">
        <v>45432</v>
      </c>
      <c r="C517" s="1" t="n">
        <v>45708</v>
      </c>
      <c r="D517" t="inlineStr">
        <is>
          <t>ÖSTERGÖTLANDS LÄN</t>
        </is>
      </c>
      <c r="E517" t="inlineStr">
        <is>
          <t>VALDEMARSVIK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19747-2024</t>
        </is>
      </c>
      <c r="B518" s="1" t="n">
        <v>45432</v>
      </c>
      <c r="C518" s="1" t="n">
        <v>45708</v>
      </c>
      <c r="D518" t="inlineStr">
        <is>
          <t>ÖSTERGÖTLANDS LÄN</t>
        </is>
      </c>
      <c r="E518" t="inlineStr">
        <is>
          <t>VALDEMARSVIK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19925-2024</t>
        </is>
      </c>
      <c r="B519" s="1" t="n">
        <v>45433</v>
      </c>
      <c r="C519" s="1" t="n">
        <v>45708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19937-2024</t>
        </is>
      </c>
      <c r="B520" s="1" t="n">
        <v>45433</v>
      </c>
      <c r="C520" s="1" t="n">
        <v>45708</v>
      </c>
      <c r="D520" t="inlineStr">
        <is>
          <t>ÖSTERGÖTLANDS LÄN</t>
        </is>
      </c>
      <c r="E520" t="inlineStr">
        <is>
          <t>VALDEMARSVIK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19981-2024</t>
        </is>
      </c>
      <c r="B521" s="1" t="n">
        <v>45433</v>
      </c>
      <c r="C521" s="1" t="n">
        <v>45708</v>
      </c>
      <c r="D521" t="inlineStr">
        <is>
          <t>ÖSTERGÖTLANDS LÄN</t>
        </is>
      </c>
      <c r="E521" t="inlineStr">
        <is>
          <t>VALDEMARSVIK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19979-2024</t>
        </is>
      </c>
      <c r="B522" s="1" t="n">
        <v>45433</v>
      </c>
      <c r="C522" s="1" t="n">
        <v>45708</v>
      </c>
      <c r="D522" t="inlineStr">
        <is>
          <t>ÖSTERGÖTLANDS LÄN</t>
        </is>
      </c>
      <c r="E522" t="inlineStr">
        <is>
          <t>VALDEMARSVIK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19983-2024</t>
        </is>
      </c>
      <c r="B523" s="1" t="n">
        <v>45433</v>
      </c>
      <c r="C523" s="1" t="n">
        <v>45708</v>
      </c>
      <c r="D523" t="inlineStr">
        <is>
          <t>ÖSTERGÖTLANDS LÄN</t>
        </is>
      </c>
      <c r="E523" t="inlineStr">
        <is>
          <t>VALDEMARSVIK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19982-2024</t>
        </is>
      </c>
      <c r="B524" s="1" t="n">
        <v>45433</v>
      </c>
      <c r="C524" s="1" t="n">
        <v>45708</v>
      </c>
      <c r="D524" t="inlineStr">
        <is>
          <t>ÖSTERGÖTLANDS LÄN</t>
        </is>
      </c>
      <c r="E524" t="inlineStr">
        <is>
          <t>VALDEMARSVIK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20484-2024</t>
        </is>
      </c>
      <c r="B525" s="1" t="n">
        <v>45435</v>
      </c>
      <c r="C525" s="1" t="n">
        <v>45708</v>
      </c>
      <c r="D525" t="inlineStr">
        <is>
          <t>ÖSTERGÖTLANDS LÄN</t>
        </is>
      </c>
      <c r="E525" t="inlineStr">
        <is>
          <t>VALDEMARSVIK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20483-2024</t>
        </is>
      </c>
      <c r="B526" s="1" t="n">
        <v>45435</v>
      </c>
      <c r="C526" s="1" t="n">
        <v>45708</v>
      </c>
      <c r="D526" t="inlineStr">
        <is>
          <t>ÖSTERGÖTLANDS LÄN</t>
        </is>
      </c>
      <c r="E526" t="inlineStr">
        <is>
          <t>VALDEMARSVIK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21820-2024</t>
        </is>
      </c>
      <c r="B527" s="1" t="n">
        <v>45442</v>
      </c>
      <c r="C527" s="1" t="n">
        <v>45708</v>
      </c>
      <c r="D527" t="inlineStr">
        <is>
          <t>ÖSTERGÖTLANDS LÄN</t>
        </is>
      </c>
      <c r="E527" t="inlineStr">
        <is>
          <t>VALDEMARSVIK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21909-2024</t>
        </is>
      </c>
      <c r="B528" s="1" t="n">
        <v>45443</v>
      </c>
      <c r="C528" s="1" t="n">
        <v>45708</v>
      </c>
      <c r="D528" t="inlineStr">
        <is>
          <t>ÖSTERGÖTLANDS LÄN</t>
        </is>
      </c>
      <c r="E528" t="inlineStr">
        <is>
          <t>VALDEMARSVIK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22592-2024</t>
        </is>
      </c>
      <c r="B529" s="1" t="n">
        <v>45447</v>
      </c>
      <c r="C529" s="1" t="n">
        <v>45708</v>
      </c>
      <c r="D529" t="inlineStr">
        <is>
          <t>ÖSTERGÖTLANDS LÄN</t>
        </is>
      </c>
      <c r="E529" t="inlineStr">
        <is>
          <t>VALDEMARSVIK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22602-2024</t>
        </is>
      </c>
      <c r="B530" s="1" t="n">
        <v>45447</v>
      </c>
      <c r="C530" s="1" t="n">
        <v>45708</v>
      </c>
      <c r="D530" t="inlineStr">
        <is>
          <t>ÖSTERGÖTLANDS LÄN</t>
        </is>
      </c>
      <c r="E530" t="inlineStr">
        <is>
          <t>VALDEMARSVIK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22698-2024</t>
        </is>
      </c>
      <c r="B531" s="1" t="n">
        <v>45448</v>
      </c>
      <c r="C531" s="1" t="n">
        <v>45708</v>
      </c>
      <c r="D531" t="inlineStr">
        <is>
          <t>ÖSTERGÖTLANDS LÄN</t>
        </is>
      </c>
      <c r="E531" t="inlineStr">
        <is>
          <t>VALDEMARSVIK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23123-2024</t>
        </is>
      </c>
      <c r="B532" s="1" t="n">
        <v>45450</v>
      </c>
      <c r="C532" s="1" t="n">
        <v>45708</v>
      </c>
      <c r="D532" t="inlineStr">
        <is>
          <t>ÖSTERGÖTLANDS LÄN</t>
        </is>
      </c>
      <c r="E532" t="inlineStr">
        <is>
          <t>VALDEMARSVIK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24049-2024</t>
        </is>
      </c>
      <c r="B533" s="1" t="n">
        <v>45456</v>
      </c>
      <c r="C533" s="1" t="n">
        <v>45708</v>
      </c>
      <c r="D533" t="inlineStr">
        <is>
          <t>ÖSTERGÖTLANDS LÄN</t>
        </is>
      </c>
      <c r="E533" t="inlineStr">
        <is>
          <t>VALDEMARSVIK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24672-2024</t>
        </is>
      </c>
      <c r="B534" s="1" t="n">
        <v>45460</v>
      </c>
      <c r="C534" s="1" t="n">
        <v>45708</v>
      </c>
      <c r="D534" t="inlineStr">
        <is>
          <t>ÖSTERGÖTLANDS LÄN</t>
        </is>
      </c>
      <c r="E534" t="inlineStr">
        <is>
          <t>VALDEMARSVIK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25946-2024</t>
        </is>
      </c>
      <c r="B535" s="1" t="n">
        <v>45467</v>
      </c>
      <c r="C535" s="1" t="n">
        <v>45708</v>
      </c>
      <c r="D535" t="inlineStr">
        <is>
          <t>ÖSTERGÖTLANDS LÄN</t>
        </is>
      </c>
      <c r="E535" t="inlineStr">
        <is>
          <t>VALDEMARSVIK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25950-2024</t>
        </is>
      </c>
      <c r="B536" s="1" t="n">
        <v>45467</v>
      </c>
      <c r="C536" s="1" t="n">
        <v>45708</v>
      </c>
      <c r="D536" t="inlineStr">
        <is>
          <t>ÖSTERGÖTLANDS LÄN</t>
        </is>
      </c>
      <c r="E536" t="inlineStr">
        <is>
          <t>VALDEMARSVIK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29044-2024</t>
        </is>
      </c>
      <c r="B537" s="1" t="n">
        <v>45481</v>
      </c>
      <c r="C537" s="1" t="n">
        <v>45708</v>
      </c>
      <c r="D537" t="inlineStr">
        <is>
          <t>ÖSTERGÖTLANDS LÄN</t>
        </is>
      </c>
      <c r="E537" t="inlineStr">
        <is>
          <t>VALDEMARSVIK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29041-2024</t>
        </is>
      </c>
      <c r="B538" s="1" t="n">
        <v>45481</v>
      </c>
      <c r="C538" s="1" t="n">
        <v>45708</v>
      </c>
      <c r="D538" t="inlineStr">
        <is>
          <t>ÖSTERGÖTLANDS LÄN</t>
        </is>
      </c>
      <c r="E538" t="inlineStr">
        <is>
          <t>VALDEMARSVIK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29776-2024</t>
        </is>
      </c>
      <c r="B539" s="1" t="n">
        <v>45485</v>
      </c>
      <c r="C539" s="1" t="n">
        <v>45708</v>
      </c>
      <c r="D539" t="inlineStr">
        <is>
          <t>ÖSTERGÖTLANDS LÄN</t>
        </is>
      </c>
      <c r="E539" t="inlineStr">
        <is>
          <t>VALDEMARSVIK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29777-2024</t>
        </is>
      </c>
      <c r="B540" s="1" t="n">
        <v>45485</v>
      </c>
      <c r="C540" s="1" t="n">
        <v>45708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30673-2024</t>
        </is>
      </c>
      <c r="B541" s="1" t="n">
        <v>45495</v>
      </c>
      <c r="C541" s="1" t="n">
        <v>45708</v>
      </c>
      <c r="D541" t="inlineStr">
        <is>
          <t>ÖSTERGÖTLANDS LÄN</t>
        </is>
      </c>
      <c r="E541" t="inlineStr">
        <is>
          <t>VALDEMARSVIK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34572-2024</t>
        </is>
      </c>
      <c r="B542" s="1" t="n">
        <v>45526</v>
      </c>
      <c r="C542" s="1" t="n">
        <v>45708</v>
      </c>
      <c r="D542" t="inlineStr">
        <is>
          <t>ÖSTERGÖTLANDS LÄN</t>
        </is>
      </c>
      <c r="E542" t="inlineStr">
        <is>
          <t>VALDEMARSVIK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34571-2024</t>
        </is>
      </c>
      <c r="B543" s="1" t="n">
        <v>45526</v>
      </c>
      <c r="C543" s="1" t="n">
        <v>45708</v>
      </c>
      <c r="D543" t="inlineStr">
        <is>
          <t>ÖSTERGÖTLANDS LÄN</t>
        </is>
      </c>
      <c r="E543" t="inlineStr">
        <is>
          <t>VALDEMARSVIK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36649-2024</t>
        </is>
      </c>
      <c r="B544" s="1" t="n">
        <v>45537</v>
      </c>
      <c r="C544" s="1" t="n">
        <v>45708</v>
      </c>
      <c r="D544" t="inlineStr">
        <is>
          <t>ÖSTERGÖTLANDS LÄN</t>
        </is>
      </c>
      <c r="E544" t="inlineStr">
        <is>
          <t>VALDEMARSVIK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36653-2024</t>
        </is>
      </c>
      <c r="B545" s="1" t="n">
        <v>45537</v>
      </c>
      <c r="C545" s="1" t="n">
        <v>45708</v>
      </c>
      <c r="D545" t="inlineStr">
        <is>
          <t>ÖSTERGÖTLANDS LÄN</t>
        </is>
      </c>
      <c r="E545" t="inlineStr">
        <is>
          <t>VALDEMARSVIK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36647-2024</t>
        </is>
      </c>
      <c r="B546" s="1" t="n">
        <v>45537</v>
      </c>
      <c r="C546" s="1" t="n">
        <v>45708</v>
      </c>
      <c r="D546" t="inlineStr">
        <is>
          <t>ÖSTERGÖTLANDS LÄN</t>
        </is>
      </c>
      <c r="E546" t="inlineStr">
        <is>
          <t>VALDEMARSVIK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36741-2024</t>
        </is>
      </c>
      <c r="B547" s="1" t="n">
        <v>45538</v>
      </c>
      <c r="C547" s="1" t="n">
        <v>45708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37421-2024</t>
        </is>
      </c>
      <c r="B548" s="1" t="n">
        <v>45540</v>
      </c>
      <c r="C548" s="1" t="n">
        <v>45708</v>
      </c>
      <c r="D548" t="inlineStr">
        <is>
          <t>ÖSTERGÖTLANDS LÄN</t>
        </is>
      </c>
      <c r="E548" t="inlineStr">
        <is>
          <t>VALDEMARSVIK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38438-2024</t>
        </is>
      </c>
      <c r="B549" s="1" t="n">
        <v>45546</v>
      </c>
      <c r="C549" s="1" t="n">
        <v>45708</v>
      </c>
      <c r="D549" t="inlineStr">
        <is>
          <t>ÖSTERGÖTLANDS LÄN</t>
        </is>
      </c>
      <c r="E549" t="inlineStr">
        <is>
          <t>VALDEMARSVIK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38423-2024</t>
        </is>
      </c>
      <c r="B550" s="1" t="n">
        <v>45546</v>
      </c>
      <c r="C550" s="1" t="n">
        <v>45708</v>
      </c>
      <c r="D550" t="inlineStr">
        <is>
          <t>ÖSTERGÖTLANDS LÄN</t>
        </is>
      </c>
      <c r="E550" t="inlineStr">
        <is>
          <t>VALDEMARSVIK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38427-2024</t>
        </is>
      </c>
      <c r="B551" s="1" t="n">
        <v>45546</v>
      </c>
      <c r="C551" s="1" t="n">
        <v>45708</v>
      </c>
      <c r="D551" t="inlineStr">
        <is>
          <t>ÖSTERGÖTLANDS LÄN</t>
        </is>
      </c>
      <c r="E551" t="inlineStr">
        <is>
          <t>VALDEMARSVIK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38431-2024</t>
        </is>
      </c>
      <c r="B552" s="1" t="n">
        <v>45546</v>
      </c>
      <c r="C552" s="1" t="n">
        <v>45708</v>
      </c>
      <c r="D552" t="inlineStr">
        <is>
          <t>ÖSTERGÖTLANDS LÄN</t>
        </is>
      </c>
      <c r="E552" t="inlineStr">
        <is>
          <t>VALDEMARSVIK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39090-2024</t>
        </is>
      </c>
      <c r="B553" s="1" t="n">
        <v>45548</v>
      </c>
      <c r="C553" s="1" t="n">
        <v>45708</v>
      </c>
      <c r="D553" t="inlineStr">
        <is>
          <t>ÖSTERGÖTLANDS LÄN</t>
        </is>
      </c>
      <c r="E553" t="inlineStr">
        <is>
          <t>VALDEMARSVIK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39086-2024</t>
        </is>
      </c>
      <c r="B554" s="1" t="n">
        <v>45548</v>
      </c>
      <c r="C554" s="1" t="n">
        <v>45708</v>
      </c>
      <c r="D554" t="inlineStr">
        <is>
          <t>ÖSTERGÖTLANDS LÄN</t>
        </is>
      </c>
      <c r="E554" t="inlineStr">
        <is>
          <t>VALDEMARSVIK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39248-2024</t>
        </is>
      </c>
      <c r="B555" s="1" t="n">
        <v>45551</v>
      </c>
      <c r="C555" s="1" t="n">
        <v>45708</v>
      </c>
      <c r="D555" t="inlineStr">
        <is>
          <t>ÖSTERGÖTLANDS LÄN</t>
        </is>
      </c>
      <c r="E555" t="inlineStr">
        <is>
          <t>VALDEMARSVIK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39251-2024</t>
        </is>
      </c>
      <c r="B556" s="1" t="n">
        <v>45551</v>
      </c>
      <c r="C556" s="1" t="n">
        <v>45708</v>
      </c>
      <c r="D556" t="inlineStr">
        <is>
          <t>ÖSTERGÖTLANDS LÄN</t>
        </is>
      </c>
      <c r="E556" t="inlineStr">
        <is>
          <t>VALDEMARSVIK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40472-2024</t>
        </is>
      </c>
      <c r="B557" s="1" t="n">
        <v>45555</v>
      </c>
      <c r="C557" s="1" t="n">
        <v>45708</v>
      </c>
      <c r="D557" t="inlineStr">
        <is>
          <t>ÖSTERGÖTLANDS LÄN</t>
        </is>
      </c>
      <c r="E557" t="inlineStr">
        <is>
          <t>VALDEMARSVIK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40556-2024</t>
        </is>
      </c>
      <c r="B558" s="1" t="n">
        <v>45555</v>
      </c>
      <c r="C558" s="1" t="n">
        <v>45708</v>
      </c>
      <c r="D558" t="inlineStr">
        <is>
          <t>ÖSTERGÖTLANDS LÄN</t>
        </is>
      </c>
      <c r="E558" t="inlineStr">
        <is>
          <t>VALDEMARSVIK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42017-2024</t>
        </is>
      </c>
      <c r="B559" s="1" t="n">
        <v>45561</v>
      </c>
      <c r="C559" s="1" t="n">
        <v>45708</v>
      </c>
      <c r="D559" t="inlineStr">
        <is>
          <t>ÖSTERGÖTLANDS LÄN</t>
        </is>
      </c>
      <c r="E559" t="inlineStr">
        <is>
          <t>VALDEMARSVIK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42376-2024</t>
        </is>
      </c>
      <c r="B560" s="1" t="n">
        <v>45564</v>
      </c>
      <c r="C560" s="1" t="n">
        <v>45708</v>
      </c>
      <c r="D560" t="inlineStr">
        <is>
          <t>ÖSTERGÖTLANDS LÄN</t>
        </is>
      </c>
      <c r="E560" t="inlineStr">
        <is>
          <t>VALDEMARSVIK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45708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42628-2024</t>
        </is>
      </c>
      <c r="B562" s="1" t="n">
        <v>45565</v>
      </c>
      <c r="C562" s="1" t="n">
        <v>45708</v>
      </c>
      <c r="D562" t="inlineStr">
        <is>
          <t>ÖSTERGÖTLANDS LÄN</t>
        </is>
      </c>
      <c r="E562" t="inlineStr">
        <is>
          <t>VALDEMARSVIK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42620-2024</t>
        </is>
      </c>
      <c r="B563" s="1" t="n">
        <v>45565</v>
      </c>
      <c r="C563" s="1" t="n">
        <v>45708</v>
      </c>
      <c r="D563" t="inlineStr">
        <is>
          <t>ÖSTERGÖTLANDS LÄN</t>
        </is>
      </c>
      <c r="E563" t="inlineStr">
        <is>
          <t>VALDEMARSVIK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45708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42626-2024</t>
        </is>
      </c>
      <c r="B565" s="1" t="n">
        <v>45565</v>
      </c>
      <c r="C565" s="1" t="n">
        <v>45708</v>
      </c>
      <c r="D565" t="inlineStr">
        <is>
          <t>ÖSTERGÖTLANDS LÄN</t>
        </is>
      </c>
      <c r="E565" t="inlineStr">
        <is>
          <t>VALDEMARSVIK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42622-2024</t>
        </is>
      </c>
      <c r="B566" s="1" t="n">
        <v>45565</v>
      </c>
      <c r="C566" s="1" t="n">
        <v>45708</v>
      </c>
      <c r="D566" t="inlineStr">
        <is>
          <t>ÖSTERGÖTLANDS LÄN</t>
        </is>
      </c>
      <c r="E566" t="inlineStr">
        <is>
          <t>VALDEMARSVIK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45708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42625-2024</t>
        </is>
      </c>
      <c r="B568" s="1" t="n">
        <v>45565</v>
      </c>
      <c r="C568" s="1" t="n">
        <v>45708</v>
      </c>
      <c r="D568" t="inlineStr">
        <is>
          <t>ÖSTERGÖTLANDS LÄN</t>
        </is>
      </c>
      <c r="E568" t="inlineStr">
        <is>
          <t>VALDEMARSVIK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42621-2024</t>
        </is>
      </c>
      <c r="B569" s="1" t="n">
        <v>45565</v>
      </c>
      <c r="C569" s="1" t="n">
        <v>45708</v>
      </c>
      <c r="D569" t="inlineStr">
        <is>
          <t>ÖSTERGÖTLANDS LÄN</t>
        </is>
      </c>
      <c r="E569" t="inlineStr">
        <is>
          <t>VALDEMARSVIK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42619-2024</t>
        </is>
      </c>
      <c r="B570" s="1" t="n">
        <v>45565</v>
      </c>
      <c r="C570" s="1" t="n">
        <v>45708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42623-2024</t>
        </is>
      </c>
      <c r="B571" s="1" t="n">
        <v>45565</v>
      </c>
      <c r="C571" s="1" t="n">
        <v>45708</v>
      </c>
      <c r="D571" t="inlineStr">
        <is>
          <t>ÖSTERGÖTLANDS LÄN</t>
        </is>
      </c>
      <c r="E571" t="inlineStr">
        <is>
          <t>VALDEMARSVIK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42627-2024</t>
        </is>
      </c>
      <c r="B572" s="1" t="n">
        <v>45565</v>
      </c>
      <c r="C572" s="1" t="n">
        <v>45708</v>
      </c>
      <c r="D572" t="inlineStr">
        <is>
          <t>ÖSTERGÖTLANDS LÄN</t>
        </is>
      </c>
      <c r="E572" t="inlineStr">
        <is>
          <t>VALDEMARSVIK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43467-2024</t>
        </is>
      </c>
      <c r="B573" s="1" t="n">
        <v>45568</v>
      </c>
      <c r="C573" s="1" t="n">
        <v>45708</v>
      </c>
      <c r="D573" t="inlineStr">
        <is>
          <t>ÖSTERGÖTLANDS LÄN</t>
        </is>
      </c>
      <c r="E573" t="inlineStr">
        <is>
          <t>VALDEMARSVIK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43468-2024</t>
        </is>
      </c>
      <c r="B574" s="1" t="n">
        <v>45568</v>
      </c>
      <c r="C574" s="1" t="n">
        <v>45708</v>
      </c>
      <c r="D574" t="inlineStr">
        <is>
          <t>ÖSTERGÖTLANDS LÄN</t>
        </is>
      </c>
      <c r="E574" t="inlineStr">
        <is>
          <t>VALDEMARSVIK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43363-2024</t>
        </is>
      </c>
      <c r="B575" s="1" t="n">
        <v>45568</v>
      </c>
      <c r="C575" s="1" t="n">
        <v>45708</v>
      </c>
      <c r="D575" t="inlineStr">
        <is>
          <t>ÖSTERGÖTLANDS LÄN</t>
        </is>
      </c>
      <c r="E575" t="inlineStr">
        <is>
          <t>VALDEMARSVIK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43245-2024</t>
        </is>
      </c>
      <c r="B576" s="1" t="n">
        <v>45568</v>
      </c>
      <c r="C576" s="1" t="n">
        <v>45708</v>
      </c>
      <c r="D576" t="inlineStr">
        <is>
          <t>ÖSTERGÖTLANDS LÄN</t>
        </is>
      </c>
      <c r="E576" t="inlineStr">
        <is>
          <t>VALDEMARSVIK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43514-2024</t>
        </is>
      </c>
      <c r="B577" s="1" t="n">
        <v>45569</v>
      </c>
      <c r="C577" s="1" t="n">
        <v>45708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43518-2024</t>
        </is>
      </c>
      <c r="B578" s="1" t="n">
        <v>45569</v>
      </c>
      <c r="C578" s="1" t="n">
        <v>45708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43500-2024</t>
        </is>
      </c>
      <c r="B579" s="1" t="n">
        <v>45569</v>
      </c>
      <c r="C579" s="1" t="n">
        <v>45708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43516-2024</t>
        </is>
      </c>
      <c r="B580" s="1" t="n">
        <v>45569</v>
      </c>
      <c r="C580" s="1" t="n">
        <v>45708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43509-2024</t>
        </is>
      </c>
      <c r="B581" s="1" t="n">
        <v>45569</v>
      </c>
      <c r="C581" s="1" t="n">
        <v>45708</v>
      </c>
      <c r="D581" t="inlineStr">
        <is>
          <t>ÖSTERGÖTLANDS LÄN</t>
        </is>
      </c>
      <c r="E581" t="inlineStr">
        <is>
          <t>VALDEMARSVIK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43519-2024</t>
        </is>
      </c>
      <c r="B582" s="1" t="n">
        <v>45569</v>
      </c>
      <c r="C582" s="1" t="n">
        <v>45708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43763-2024</t>
        </is>
      </c>
      <c r="B583" s="1" t="n">
        <v>45569</v>
      </c>
      <c r="C583" s="1" t="n">
        <v>45708</v>
      </c>
      <c r="D583" t="inlineStr">
        <is>
          <t>ÖSTERGÖTLANDS LÄN</t>
        </is>
      </c>
      <c r="E583" t="inlineStr">
        <is>
          <t>VALDEMARSVIK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45460-2024</t>
        </is>
      </c>
      <c r="B584" s="1" t="n">
        <v>45576</v>
      </c>
      <c r="C584" s="1" t="n">
        <v>45708</v>
      </c>
      <c r="D584" t="inlineStr">
        <is>
          <t>ÖSTERGÖTLANDS LÄN</t>
        </is>
      </c>
      <c r="E584" t="inlineStr">
        <is>
          <t>VALDEMARSVIK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46184-2024</t>
        </is>
      </c>
      <c r="B585" s="1" t="n">
        <v>45581</v>
      </c>
      <c r="C585" s="1" t="n">
        <v>45708</v>
      </c>
      <c r="D585" t="inlineStr">
        <is>
          <t>ÖSTERGÖTLANDS LÄN</t>
        </is>
      </c>
      <c r="E585" t="inlineStr">
        <is>
          <t>VALDEMARSVIK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46188-2024</t>
        </is>
      </c>
      <c r="B586" s="1" t="n">
        <v>45581</v>
      </c>
      <c r="C586" s="1" t="n">
        <v>45708</v>
      </c>
      <c r="D586" t="inlineStr">
        <is>
          <t>ÖSTERGÖTLANDS LÄN</t>
        </is>
      </c>
      <c r="E586" t="inlineStr">
        <is>
          <t>VALDEMARSVIK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46186-2024</t>
        </is>
      </c>
      <c r="B587" s="1" t="n">
        <v>45581</v>
      </c>
      <c r="C587" s="1" t="n">
        <v>45708</v>
      </c>
      <c r="D587" t="inlineStr">
        <is>
          <t>ÖSTERGÖTLANDS LÄN</t>
        </is>
      </c>
      <c r="E587" t="inlineStr">
        <is>
          <t>VALDEMARSVIK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46187-2024</t>
        </is>
      </c>
      <c r="B588" s="1" t="n">
        <v>45581</v>
      </c>
      <c r="C588" s="1" t="n">
        <v>45708</v>
      </c>
      <c r="D588" t="inlineStr">
        <is>
          <t>ÖSTERGÖTLANDS LÄN</t>
        </is>
      </c>
      <c r="E588" t="inlineStr">
        <is>
          <t>VALDEMARSVIK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47660-2024</t>
        </is>
      </c>
      <c r="B589" s="1" t="n">
        <v>45588</v>
      </c>
      <c r="C589" s="1" t="n">
        <v>45708</v>
      </c>
      <c r="D589" t="inlineStr">
        <is>
          <t>ÖSTERGÖTLANDS LÄN</t>
        </is>
      </c>
      <c r="E589" t="inlineStr">
        <is>
          <t>VALDEMARSVIK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47679-2024</t>
        </is>
      </c>
      <c r="B590" s="1" t="n">
        <v>45588</v>
      </c>
      <c r="C590" s="1" t="n">
        <v>45708</v>
      </c>
      <c r="D590" t="inlineStr">
        <is>
          <t>ÖSTERGÖTLANDS LÄN</t>
        </is>
      </c>
      <c r="E590" t="inlineStr">
        <is>
          <t>VALDEMARSVIK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48158-2024</t>
        </is>
      </c>
      <c r="B591" s="1" t="n">
        <v>45589</v>
      </c>
      <c r="C591" s="1" t="n">
        <v>45708</v>
      </c>
      <c r="D591" t="inlineStr">
        <is>
          <t>ÖSTERGÖTLANDS LÄN</t>
        </is>
      </c>
      <c r="E591" t="inlineStr">
        <is>
          <t>VALDEMARSVIK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48239-2024</t>
        </is>
      </c>
      <c r="B592" s="1" t="n">
        <v>45590</v>
      </c>
      <c r="C592" s="1" t="n">
        <v>45708</v>
      </c>
      <c r="D592" t="inlineStr">
        <is>
          <t>ÖSTERGÖTLANDS LÄN</t>
        </is>
      </c>
      <c r="E592" t="inlineStr">
        <is>
          <t>VALDEMARSVIK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48247-2024</t>
        </is>
      </c>
      <c r="B593" s="1" t="n">
        <v>45590</v>
      </c>
      <c r="C593" s="1" t="n">
        <v>45708</v>
      </c>
      <c r="D593" t="inlineStr">
        <is>
          <t>ÖSTERGÖTLANDS LÄN</t>
        </is>
      </c>
      <c r="E593" t="inlineStr">
        <is>
          <t>VALDEMARSVIK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48243-2024</t>
        </is>
      </c>
      <c r="B594" s="1" t="n">
        <v>45590</v>
      </c>
      <c r="C594" s="1" t="n">
        <v>45708</v>
      </c>
      <c r="D594" t="inlineStr">
        <is>
          <t>ÖSTERGÖTLANDS LÄN</t>
        </is>
      </c>
      <c r="E594" t="inlineStr">
        <is>
          <t>VALDEMARSVIK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49294-2024</t>
        </is>
      </c>
      <c r="B595" s="1" t="n">
        <v>45595</v>
      </c>
      <c r="C595" s="1" t="n">
        <v>45708</v>
      </c>
      <c r="D595" t="inlineStr">
        <is>
          <t>ÖSTERGÖTLANDS LÄN</t>
        </is>
      </c>
      <c r="E595" t="inlineStr">
        <is>
          <t>VALDEMARSVIK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49604-2024</t>
        </is>
      </c>
      <c r="B596" s="1" t="n">
        <v>45596</v>
      </c>
      <c r="C596" s="1" t="n">
        <v>45708</v>
      </c>
      <c r="D596" t="inlineStr">
        <is>
          <t>ÖSTERGÖTLANDS LÄN</t>
        </is>
      </c>
      <c r="E596" t="inlineStr">
        <is>
          <t>VALDEMARSVIK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49934-2024</t>
        </is>
      </c>
      <c r="B597" s="1" t="n">
        <v>45597</v>
      </c>
      <c r="C597" s="1" t="n">
        <v>45708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49931-2024</t>
        </is>
      </c>
      <c r="B598" s="1" t="n">
        <v>45597</v>
      </c>
      <c r="C598" s="1" t="n">
        <v>45708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50609-2024</t>
        </is>
      </c>
      <c r="B599" s="1" t="n">
        <v>45601</v>
      </c>
      <c r="C599" s="1" t="n">
        <v>45708</v>
      </c>
      <c r="D599" t="inlineStr">
        <is>
          <t>ÖSTERGÖTLANDS LÄN</t>
        </is>
      </c>
      <c r="E599" t="inlineStr">
        <is>
          <t>VALDEMARSVIK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50600-2024</t>
        </is>
      </c>
      <c r="B600" s="1" t="n">
        <v>45601</v>
      </c>
      <c r="C600" s="1" t="n">
        <v>45708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50606-2024</t>
        </is>
      </c>
      <c r="B601" s="1" t="n">
        <v>45601</v>
      </c>
      <c r="C601" s="1" t="n">
        <v>45708</v>
      </c>
      <c r="D601" t="inlineStr">
        <is>
          <t>ÖSTERGÖTLANDS LÄN</t>
        </is>
      </c>
      <c r="E601" t="inlineStr">
        <is>
          <t>VALDEMARSVIK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50442-2024</t>
        </is>
      </c>
      <c r="B602" s="1" t="n">
        <v>45601</v>
      </c>
      <c r="C602" s="1" t="n">
        <v>45708</v>
      </c>
      <c r="D602" t="inlineStr">
        <is>
          <t>ÖSTERGÖTLANDS LÄN</t>
        </is>
      </c>
      <c r="E602" t="inlineStr">
        <is>
          <t>VALDEMARSVIK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51018-2024</t>
        </is>
      </c>
      <c r="B603" s="1" t="n">
        <v>45603</v>
      </c>
      <c r="C603" s="1" t="n">
        <v>45708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51187-2024</t>
        </is>
      </c>
      <c r="B604" s="1" t="n">
        <v>45603</v>
      </c>
      <c r="C604" s="1" t="n">
        <v>45708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45708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51748-2024</t>
        </is>
      </c>
      <c r="B606" s="1" t="n">
        <v>45607</v>
      </c>
      <c r="C606" s="1" t="n">
        <v>45708</v>
      </c>
      <c r="D606" t="inlineStr">
        <is>
          <t>ÖSTERGÖTLANDS LÄN</t>
        </is>
      </c>
      <c r="E606" t="inlineStr">
        <is>
          <t>VALDEMARSVIK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54433-2024</t>
        </is>
      </c>
      <c r="B607" s="1" t="n">
        <v>45617</v>
      </c>
      <c r="C607" s="1" t="n">
        <v>45708</v>
      </c>
      <c r="D607" t="inlineStr">
        <is>
          <t>ÖSTERGÖTLANDS LÄN</t>
        </is>
      </c>
      <c r="E607" t="inlineStr">
        <is>
          <t>VALDEMARSVIK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54898-2024</t>
        </is>
      </c>
      <c r="B608" s="1" t="n">
        <v>45618</v>
      </c>
      <c r="C608" s="1" t="n">
        <v>45708</v>
      </c>
      <c r="D608" t="inlineStr">
        <is>
          <t>ÖSTERGÖTLANDS LÄN</t>
        </is>
      </c>
      <c r="E608" t="inlineStr">
        <is>
          <t>VALDEMARSVIK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45708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55541-2024</t>
        </is>
      </c>
      <c r="B610" s="1" t="n">
        <v>45622</v>
      </c>
      <c r="C610" s="1" t="n">
        <v>45708</v>
      </c>
      <c r="D610" t="inlineStr">
        <is>
          <t>ÖSTERGÖTLANDS LÄN</t>
        </is>
      </c>
      <c r="E610" t="inlineStr">
        <is>
          <t>VALDEMARSVIK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56303-2024</t>
        </is>
      </c>
      <c r="B611" s="1" t="n">
        <v>45624</v>
      </c>
      <c r="C611" s="1" t="n">
        <v>45708</v>
      </c>
      <c r="D611" t="inlineStr">
        <is>
          <t>ÖSTERGÖTLANDS LÄN</t>
        </is>
      </c>
      <c r="E611" t="inlineStr">
        <is>
          <t>VALDEMARSVIK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56830-2024</t>
        </is>
      </c>
      <c r="B612" s="1" t="n">
        <v>45628</v>
      </c>
      <c r="C612" s="1" t="n">
        <v>45708</v>
      </c>
      <c r="D612" t="inlineStr">
        <is>
          <t>ÖSTERGÖTLANDS LÄN</t>
        </is>
      </c>
      <c r="E612" t="inlineStr">
        <is>
          <t>VALDEMARSVIK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56855-2024</t>
        </is>
      </c>
      <c r="B613" s="1" t="n">
        <v>45628</v>
      </c>
      <c r="C613" s="1" t="n">
        <v>45708</v>
      </c>
      <c r="D613" t="inlineStr">
        <is>
          <t>ÖSTERGÖTLANDS LÄN</t>
        </is>
      </c>
      <c r="E613" t="inlineStr">
        <is>
          <t>VALDEMARSVIK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56859-2024</t>
        </is>
      </c>
      <c r="B614" s="1" t="n">
        <v>45628</v>
      </c>
      <c r="C614" s="1" t="n">
        <v>45708</v>
      </c>
      <c r="D614" t="inlineStr">
        <is>
          <t>ÖSTERGÖTLANDS LÄN</t>
        </is>
      </c>
      <c r="E614" t="inlineStr">
        <is>
          <t>VALDEMARSVIK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45708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57144-2024</t>
        </is>
      </c>
      <c r="B616" s="1" t="n">
        <v>45629</v>
      </c>
      <c r="C616" s="1" t="n">
        <v>45708</v>
      </c>
      <c r="D616" t="inlineStr">
        <is>
          <t>ÖSTERGÖTLANDS LÄN</t>
        </is>
      </c>
      <c r="E616" t="inlineStr">
        <is>
          <t>VALDEMARSVIK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45708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58254-2024</t>
        </is>
      </c>
      <c r="B618" s="1" t="n">
        <v>45632</v>
      </c>
      <c r="C618" s="1" t="n">
        <v>45708</v>
      </c>
      <c r="D618" t="inlineStr">
        <is>
          <t>ÖSTERGÖTLANDS LÄN</t>
        </is>
      </c>
      <c r="E618" t="inlineStr">
        <is>
          <t>VALDEMARSVIK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60080-2024</t>
        </is>
      </c>
      <c r="B619" s="1" t="n">
        <v>45639</v>
      </c>
      <c r="C619" s="1" t="n">
        <v>45708</v>
      </c>
      <c r="D619" t="inlineStr">
        <is>
          <t>ÖSTERGÖTLANDS LÄN</t>
        </is>
      </c>
      <c r="E619" t="inlineStr">
        <is>
          <t>VALDEMARSVIK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61708-2024</t>
        </is>
      </c>
      <c r="B620" s="1" t="n">
        <v>45648</v>
      </c>
      <c r="C620" s="1" t="n">
        <v>45708</v>
      </c>
      <c r="D620" t="inlineStr">
        <is>
          <t>ÖSTERGÖTLANDS LÄN</t>
        </is>
      </c>
      <c r="E620" t="inlineStr">
        <is>
          <t>VALDEMARSVIK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407-2025</t>
        </is>
      </c>
      <c r="B621" s="1" t="n">
        <v>45663</v>
      </c>
      <c r="C621" s="1" t="n">
        <v>45708</v>
      </c>
      <c r="D621" t="inlineStr">
        <is>
          <t>ÖSTERGÖTLANDS LÄN</t>
        </is>
      </c>
      <c r="E621" t="inlineStr">
        <is>
          <t>VALDEMARSVIK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45708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1005-2025</t>
        </is>
      </c>
      <c r="B623" s="1" t="n">
        <v>45666</v>
      </c>
      <c r="C623" s="1" t="n">
        <v>45708</v>
      </c>
      <c r="D623" t="inlineStr">
        <is>
          <t>ÖSTERGÖTLANDS LÄN</t>
        </is>
      </c>
      <c r="E623" t="inlineStr">
        <is>
          <t>VALDEMARSVIK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45708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45708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1272-2025</t>
        </is>
      </c>
      <c r="B626" s="1" t="n">
        <v>45667</v>
      </c>
      <c r="C626" s="1" t="n">
        <v>45708</v>
      </c>
      <c r="D626" t="inlineStr">
        <is>
          <t>ÖSTERGÖTLANDS LÄN</t>
        </is>
      </c>
      <c r="E626" t="inlineStr">
        <is>
          <t>VALDEMARSVIK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1320-2025</t>
        </is>
      </c>
      <c r="B627" s="1" t="n">
        <v>45667</v>
      </c>
      <c r="C627" s="1" t="n">
        <v>45708</v>
      </c>
      <c r="D627" t="inlineStr">
        <is>
          <t>ÖSTERGÖTLANDS LÄN</t>
        </is>
      </c>
      <c r="E627" t="inlineStr">
        <is>
          <t>VALDEMARSVIK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1330-2025</t>
        </is>
      </c>
      <c r="B628" s="1" t="n">
        <v>45667</v>
      </c>
      <c r="C628" s="1" t="n">
        <v>45708</v>
      </c>
      <c r="D628" t="inlineStr">
        <is>
          <t>ÖSTERGÖTLANDS LÄN</t>
        </is>
      </c>
      <c r="E628" t="inlineStr">
        <is>
          <t>VALDEMARSVIK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1315-2025</t>
        </is>
      </c>
      <c r="B629" s="1" t="n">
        <v>45667</v>
      </c>
      <c r="C629" s="1" t="n">
        <v>45708</v>
      </c>
      <c r="D629" t="inlineStr">
        <is>
          <t>ÖSTERGÖTLANDS LÄN</t>
        </is>
      </c>
      <c r="E629" t="inlineStr">
        <is>
          <t>VALDEMARSVIK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1338-2025</t>
        </is>
      </c>
      <c r="B630" s="1" t="n">
        <v>45667</v>
      </c>
      <c r="C630" s="1" t="n">
        <v>45708</v>
      </c>
      <c r="D630" t="inlineStr">
        <is>
          <t>ÖSTERGÖTLANDS LÄN</t>
        </is>
      </c>
      <c r="E630" t="inlineStr">
        <is>
          <t>VALDEMARSVIK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1238-2025</t>
        </is>
      </c>
      <c r="B631" s="1" t="n">
        <v>45667</v>
      </c>
      <c r="C631" s="1" t="n">
        <v>45708</v>
      </c>
      <c r="D631" t="inlineStr">
        <is>
          <t>ÖSTERGÖTLANDS LÄN</t>
        </is>
      </c>
      <c r="E631" t="inlineStr">
        <is>
          <t>VALDEMARSVIK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1259-2025</t>
        </is>
      </c>
      <c r="B632" s="1" t="n">
        <v>45667</v>
      </c>
      <c r="C632" s="1" t="n">
        <v>45708</v>
      </c>
      <c r="D632" t="inlineStr">
        <is>
          <t>ÖSTERGÖTLANDS LÄN</t>
        </is>
      </c>
      <c r="E632" t="inlineStr">
        <is>
          <t>VALDEMARSVIK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1397-2025</t>
        </is>
      </c>
      <c r="B633" s="1" t="n">
        <v>45667</v>
      </c>
      <c r="C633" s="1" t="n">
        <v>45708</v>
      </c>
      <c r="D633" t="inlineStr">
        <is>
          <t>ÖSTERGÖTLANDS LÄN</t>
        </is>
      </c>
      <c r="E633" t="inlineStr">
        <is>
          <t>VALDEMARSVIK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2450-2025</t>
        </is>
      </c>
      <c r="B634" s="1" t="n">
        <v>45674</v>
      </c>
      <c r="C634" s="1" t="n">
        <v>45708</v>
      </c>
      <c r="D634" t="inlineStr">
        <is>
          <t>ÖSTERGÖTLANDS LÄN</t>
        </is>
      </c>
      <c r="E634" t="inlineStr">
        <is>
          <t>VALDEMARSVIK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4125-2025</t>
        </is>
      </c>
      <c r="B635" s="1" t="n">
        <v>45685</v>
      </c>
      <c r="C635" s="1" t="n">
        <v>45708</v>
      </c>
      <c r="D635" t="inlineStr">
        <is>
          <t>ÖSTERGÖTLANDS LÄN</t>
        </is>
      </c>
      <c r="E635" t="inlineStr">
        <is>
          <t>VALDEMARSVIK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4126-2025</t>
        </is>
      </c>
      <c r="B636" s="1" t="n">
        <v>45685</v>
      </c>
      <c r="C636" s="1" t="n">
        <v>45708</v>
      </c>
      <c r="D636" t="inlineStr">
        <is>
          <t>ÖSTERGÖTLANDS LÄN</t>
        </is>
      </c>
      <c r="E636" t="inlineStr">
        <is>
          <t>VALDEMARSVIK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4207-2025</t>
        </is>
      </c>
      <c r="B637" s="1" t="n">
        <v>45685</v>
      </c>
      <c r="C637" s="1" t="n">
        <v>45708</v>
      </c>
      <c r="D637" t="inlineStr">
        <is>
          <t>ÖSTERGÖTLANDS LÄN</t>
        </is>
      </c>
      <c r="E637" t="inlineStr">
        <is>
          <t>VALDEMARSVIK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45708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4627-2025</t>
        </is>
      </c>
      <c r="B639" s="1" t="n">
        <v>45687</v>
      </c>
      <c r="C639" s="1" t="n">
        <v>45708</v>
      </c>
      <c r="D639" t="inlineStr">
        <is>
          <t>ÖSTERGÖTLANDS LÄN</t>
        </is>
      </c>
      <c r="E639" t="inlineStr">
        <is>
          <t>VALDEMARSVIK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5177-2025</t>
        </is>
      </c>
      <c r="B640" s="1" t="n">
        <v>45691</v>
      </c>
      <c r="C640" s="1" t="n">
        <v>45708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HYPERLINK("https://klasma.github.io/Logging_0563/knärot/A 5177-2025 karta knärot.png", "A 5177-2025")</f>
        <v/>
      </c>
      <c r="V640">
        <f>HYPERLINK("https://klasma.github.io/Logging_0563/klagomål/A 5177-2025 FSC-klagomål.docx", "A 5177-2025")</f>
        <v/>
      </c>
      <c r="W640">
        <f>HYPERLINK("https://klasma.github.io/Logging_0563/klagomålsmail/A 5177-2025 FSC-klagomål mail.docx", "A 5177-2025")</f>
        <v/>
      </c>
      <c r="X640">
        <f>HYPERLINK("https://klasma.github.io/Logging_0563/tillsyn/A 5177-2025 tillsynsbegäran.docx", "A 5177-2025")</f>
        <v/>
      </c>
      <c r="Y640">
        <f>HYPERLINK("https://klasma.github.io/Logging_0563/tillsynsmail/A 5177-2025 tillsynsbegäran mail.docx", "A 5177-2025")</f>
        <v/>
      </c>
    </row>
    <row r="641" ht="15" customHeight="1">
      <c r="A641" t="inlineStr">
        <is>
          <t>A 5175-2025</t>
        </is>
      </c>
      <c r="B641" s="1" t="n">
        <v>45691</v>
      </c>
      <c r="C641" s="1" t="n">
        <v>45708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5414-2025</t>
        </is>
      </c>
      <c r="B642" s="1" t="n">
        <v>45692</v>
      </c>
      <c r="C642" s="1" t="n">
        <v>45708</v>
      </c>
      <c r="D642" t="inlineStr">
        <is>
          <t>ÖSTERGÖTLANDS LÄN</t>
        </is>
      </c>
      <c r="E642" t="inlineStr">
        <is>
          <t>VALDEMARSVIK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5649-2025</t>
        </is>
      </c>
      <c r="B643" s="1" t="n">
        <v>45693</v>
      </c>
      <c r="C643" s="1" t="n">
        <v>45708</v>
      </c>
      <c r="D643" t="inlineStr">
        <is>
          <t>ÖSTERGÖTLANDS LÄN</t>
        </is>
      </c>
      <c r="E643" t="inlineStr">
        <is>
          <t>VALDEMARSVIK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5648-2025</t>
        </is>
      </c>
      <c r="B644" s="1" t="n">
        <v>45693</v>
      </c>
      <c r="C644" s="1" t="n">
        <v>45708</v>
      </c>
      <c r="D644" t="inlineStr">
        <is>
          <t>ÖSTERGÖTLANDS LÄN</t>
        </is>
      </c>
      <c r="E644" t="inlineStr">
        <is>
          <t>VALDEMARSVIK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5656-2025</t>
        </is>
      </c>
      <c r="B645" s="1" t="n">
        <v>45693</v>
      </c>
      <c r="C645" s="1" t="n">
        <v>45708</v>
      </c>
      <c r="D645" t="inlineStr">
        <is>
          <t>ÖSTERGÖTLANDS LÄN</t>
        </is>
      </c>
      <c r="E645" t="inlineStr">
        <is>
          <t>VALDEMARSVIK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6336-2025</t>
        </is>
      </c>
      <c r="B646" s="1" t="n">
        <v>45699</v>
      </c>
      <c r="C646" s="1" t="n">
        <v>45708</v>
      </c>
      <c r="D646" t="inlineStr">
        <is>
          <t>ÖSTERGÖTLANDS LÄN</t>
        </is>
      </c>
      <c r="E646" t="inlineStr">
        <is>
          <t>VALDEMARSVIK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45708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45708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45708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45708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45708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7646-2025</t>
        </is>
      </c>
      <c r="B652" s="1" t="n">
        <v>45705</v>
      </c>
      <c r="C652" s="1" t="n">
        <v>45708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2025-02-20T17:06:52Z</dcterms:created>
  <dcterms:modified xmlns:dcterms="http://purl.org/dc/terms/" xmlns:xsi="http://www.w3.org/2001/XMLSchema-instance" xsi:type="dcterms:W3CDTF">2025-02-20T17:06:52Z</dcterms:modified>
</cp:coreProperties>
</file>