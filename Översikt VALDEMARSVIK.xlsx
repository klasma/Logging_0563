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46304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46304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46304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46304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59356-2023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45253</v>
      </c>
      <c r="E6" s="1" t="n">
        <v>46304</v>
      </c>
      <c r="F6" t="inlineStr">
        <is>
          <t>ÖSTERGÖTLANDS LÄN</t>
        </is>
      </c>
      <c r="G6" t="inlineStr">
        <is>
          <t>VALDEMARSVIK</t>
        </is>
      </c>
      <c r="H6" t="inlineStr">
        <is>
          <t>Holmen skog AB</t>
        </is>
      </c>
      <c r="I6" t="n">
        <v>2.1</v>
      </c>
      <c r="J6" t="n">
        <v>0</v>
      </c>
      <c r="K6" t="n">
        <v>3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5</v>
      </c>
      <c r="T6" t="n">
        <v>6</v>
      </c>
      <c r="U6" t="n">
        <v>0</v>
      </c>
      <c r="V6" s="2" t="inlineStr">
        <is>
          <t>Ask
Bukspolsnäcka
Aspvedgnagare
Myskbock
Noshornsoxe</t>
        </is>
      </c>
      <c r="W6">
        <f>HYPERLINK("https://klasma.github.io/Logging_0563/artfynd/A 59356-2023 artfynd.xlsx", "A 59356-2023")</f>
        <v/>
      </c>
      <c r="X6">
        <f>HYPERLINK("https://klasma.github.io/Logging_0563/kartor/A 59356-2023 karta.png", "A 59356-2023")</f>
        <v/>
      </c>
      <c r="Y6">
        <f>HYPERLINK("https://klasma.github.io/Logging_0563/kartor_geotiff/A 59356-2023 georefererad karta.tif", "A 59356-2023")</f>
        <v/>
      </c>
      <c r="AA6">
        <f>HYPERLINK("https://klasma.github.io/Logging_0563/klagomål/A 59356-2023 FSC-klagomål.docx", "A 59356-2023")</f>
        <v/>
      </c>
      <c r="AB6">
        <f>HYPERLINK("https://klasma.github.io/Logging_0563/klagomålsmail/A 59356-2023 FSC-klagomål mail.docx", "A 59356-2023")</f>
        <v/>
      </c>
      <c r="AC6">
        <f>HYPERLINK("https://klasma.github.io/Logging_0563/tillsyn/A 59356-2023 tillsynsbegäran.docx", "A 59356-2023")</f>
        <v/>
      </c>
      <c r="AD6">
        <f>HYPERLINK("https://klasma.github.io/Logging_0563/tillsynsmail/A 59356-2023 tillsynsbegäran mail.docx", "A 59356-2023")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46304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46304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46304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46304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46304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46304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46304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46304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1543-2022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46304</v>
      </c>
      <c r="F15" t="inlineStr">
        <is>
          <t>ÖSTERGÖTLANDS LÄN</t>
        </is>
      </c>
      <c r="G15" t="inlineStr">
        <is>
          <t>VALDEMARSVIK</t>
        </is>
      </c>
      <c r="I15" t="n">
        <v>6.5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Hasselsnok</t>
        </is>
      </c>
      <c r="W15">
        <f>HYPERLINK("https://klasma.github.io/Logging_0563/artfynd/A 1543-2022 artfynd.xlsx", "A 1543-2022")</f>
        <v/>
      </c>
      <c r="X15">
        <f>HYPERLINK("https://klasma.github.io/Logging_0563/kartor/A 1543-2022 karta.png", "A 1543-2022")</f>
        <v/>
      </c>
      <c r="Y15">
        <f>HYPERLINK("https://klasma.github.io/Logging_0563/kartor_geotiff/A 1543-2022 georefererad karta.tif", "A 1543-2022")</f>
        <v/>
      </c>
      <c r="AA15">
        <f>HYPERLINK("https://klasma.github.io/Logging_0563/klagomål/A 1543-2022 FSC-klagomål.docx", "A 1543-2022")</f>
        <v/>
      </c>
      <c r="AB15">
        <f>HYPERLINK("https://klasma.github.io/Logging_0563/klagomålsmail/A 1543-2022 FSC-klagomål mail.docx", "A 1543-2022")</f>
        <v/>
      </c>
      <c r="AC15">
        <f>HYPERLINK("https://klasma.github.io/Logging_0563/tillsyn/A 1543-2022 tillsynsbegäran.docx", "A 1543-2022")</f>
        <v/>
      </c>
      <c r="AD15">
        <f>HYPERLINK("https://klasma.github.io/Logging_0563/tillsynsmail/A 1543-2022 tillsynsbegäran mail.docx", "A 1543-2022")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46304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5414-2024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46304</v>
      </c>
      <c r="F17" t="inlineStr">
        <is>
          <t>ÖSTERGÖTLANDS LÄN</t>
        </is>
      </c>
      <c r="G17" t="inlineStr">
        <is>
          <t>VALDEMARSVIK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HYPERLINK("https://klasma.github.io/Logging_0563/artfynd/A 5414-2024 artfynd.xlsx", "A 5414-2024")</f>
        <v/>
      </c>
      <c r="X17">
        <f>HYPERLINK("https://klasma.github.io/Logging_0563/kartor/A 5414-2024 karta.png", "A 5414-2024")</f>
        <v/>
      </c>
      <c r="Y17">
        <f>HYPERLINK("https://klasma.github.io/Logging_0563/kartor_geotiff/A 5414-2024 georefererad karta.tif", "A 5414-2024")</f>
        <v/>
      </c>
      <c r="AA17">
        <f>HYPERLINK("https://klasma.github.io/Logging_0563/klagomål/A 5414-2024 FSC-klagomål.docx", "A 5414-2024")</f>
        <v/>
      </c>
      <c r="AB17">
        <f>HYPERLINK("https://klasma.github.io/Logging_0563/klagomålsmail/A 5414-2024 FSC-klagomål mail.docx", "A 5414-2024")</f>
        <v/>
      </c>
      <c r="AC17">
        <f>HYPERLINK("https://klasma.github.io/Logging_0563/tillsyn/A 5414-2024 tillsynsbegäran.docx", "A 5414-2024")</f>
        <v/>
      </c>
      <c r="AD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46304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45043</v>
      </c>
      <c r="E19" s="1" t="n">
        <v>46304</v>
      </c>
      <c r="F19" t="inlineStr">
        <is>
          <t>ÖSTERGÖTLANDS LÄN</t>
        </is>
      </c>
      <c r="G19" t="inlineStr">
        <is>
          <t>VALDEMARSVIK</t>
        </is>
      </c>
      <c r="I19" t="n">
        <v>2.9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HYPERLINK("https://klasma.github.io/Logging_0563/artfynd/A 18758-2023 artfynd.xlsx", "A 18758-2023")</f>
        <v/>
      </c>
      <c r="X19">
        <f>HYPERLINK("https://klasma.github.io/Logging_0563/kartor/A 18758-2023 karta.png", "A 18758-2023")</f>
        <v/>
      </c>
      <c r="Y19">
        <f>HYPERLINK("https://klasma.github.io/Logging_0563/kartor_geotiff/A 18758-2023 georefererad karta.tif", "A 18758-2023")</f>
        <v/>
      </c>
      <c r="Z19">
        <f>HYPERLINK("https://klasma.github.io/Logging_0563/knärot/A 18758-2023 karta knärot.png", "A 18758-2023")</f>
        <v/>
      </c>
      <c r="AA19">
        <f>HYPERLINK("https://klasma.github.io/Logging_0563/klagomål/A 18758-2023 FSC-klagomål.docx", "A 18758-2023")</f>
        <v/>
      </c>
      <c r="AB19">
        <f>HYPERLINK("https://klasma.github.io/Logging_0563/klagomålsmail/A 18758-2023 FSC-klagomål mail.docx", "A 18758-2023")</f>
        <v/>
      </c>
      <c r="AC19">
        <f>HYPERLINK("https://klasma.github.io/Logging_0563/tillsyn/A 18758-2023 tillsynsbegäran.docx", "A 18758-2023")</f>
        <v/>
      </c>
      <c r="AD19">
        <f>HYPERLINK("https://klasma.github.io/Logging_0563/tillsynsmail/A 18758-2023 tillsynsbegäran mail.docx", "A 18758-2023")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46304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4051-2023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44952</v>
      </c>
      <c r="E21" s="1" t="n">
        <v>46304</v>
      </c>
      <c r="F21" t="inlineStr">
        <is>
          <t>ÖSTERGÖTLANDS LÄN</t>
        </is>
      </c>
      <c r="G21" t="inlineStr">
        <is>
          <t>VALDEMARSVIK</t>
        </is>
      </c>
      <c r="I21" t="n">
        <v>2.5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HYPERLINK("https://klasma.github.io/Logging_0563/artfynd/A 4051-2023 artfynd.xlsx", "A 4051-2023")</f>
        <v/>
      </c>
      <c r="X21">
        <f>HYPERLINK("https://klasma.github.io/Logging_0563/kartor/A 4051-2023 karta.png", "A 4051-2023")</f>
        <v/>
      </c>
      <c r="Y21">
        <f>HYPERLINK("https://klasma.github.io/Logging_0563/kartor_geotiff/A 4051-2023 georefererad karta.tif", "A 4051-2023")</f>
        <v/>
      </c>
      <c r="AA21">
        <f>HYPERLINK("https://klasma.github.io/Logging_0563/klagomål/A 4051-2023 FSC-klagomål.docx", "A 4051-2023")</f>
        <v/>
      </c>
      <c r="AB21">
        <f>HYPERLINK("https://klasma.github.io/Logging_0563/klagomålsmail/A 4051-2023 FSC-klagomål mail.docx", "A 4051-2023")</f>
        <v/>
      </c>
      <c r="AC21">
        <f>HYPERLINK("https://klasma.github.io/Logging_0563/tillsyn/A 4051-2023 tillsynsbegäran.docx", "A 4051-2023")</f>
        <v/>
      </c>
      <c r="AD21">
        <f>HYPERLINK("https://klasma.github.io/Logging_0563/tillsynsmail/A 4051-2023 tillsynsbegäran mail.docx", "A 4051-2023")</f>
        <v/>
      </c>
    </row>
    <row r="22" ht="15" customHeight="1">
      <c r="A22" t="inlineStr">
        <is>
          <t>A 23067-2025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45790</v>
      </c>
      <c r="E22" s="1" t="n">
        <v>46304</v>
      </c>
      <c r="F22" t="inlineStr">
        <is>
          <t>ÖSTERGÖTLANDS LÄN</t>
        </is>
      </c>
      <c r="G22" t="inlineStr">
        <is>
          <t>VALDEMARSVIK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HYPERLINK("https://klasma.github.io/Logging_0563/artfynd/A 23067-2025 artfynd.xlsx", "A 23067-2025")</f>
        <v/>
      </c>
      <c r="X22">
        <f>HYPERLINK("https://klasma.github.io/Logging_0563/kartor/A 23067-2025 karta.png", "A 23067-2025")</f>
        <v/>
      </c>
      <c r="Y22">
        <f>HYPERLINK("https://klasma.github.io/Logging_0563/kartor_geotiff/A 23067-2025 georefererad karta.tif", "A 23067-2025")</f>
        <v/>
      </c>
      <c r="AA22">
        <f>HYPERLINK("https://klasma.github.io/Logging_0563/klagomål/A 23067-2025 FSC-klagomål.docx", "A 23067-2025")</f>
        <v/>
      </c>
      <c r="AB22">
        <f>HYPERLINK("https://klasma.github.io/Logging_0563/klagomålsmail/A 23067-2025 FSC-klagomål mail.docx", "A 23067-2025")</f>
        <v/>
      </c>
      <c r="AC22">
        <f>HYPERLINK("https://klasma.github.io/Logging_0563/tillsyn/A 23067-2025 tillsynsbegäran.docx", "A 23067-2025")</f>
        <v/>
      </c>
      <c r="AD22">
        <f>HYPERLINK("https://klasma.github.io/Logging_0563/tillsynsmail/A 23067-2025 tillsynsbegäran mail.docx", "A 23067-2025")</f>
        <v/>
      </c>
      <c r="AE22">
        <f>HYPERLINK("https://klasma.github.io/Logging_0563/fåglar/A 23067-2025 prioriterade fågelarter.docx", "A 23067-2025")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46304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46304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46304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44687</v>
      </c>
      <c r="E26" s="1" t="n">
        <v>46304</v>
      </c>
      <c r="F26" t="inlineStr">
        <is>
          <t>ÖSTERGÖTLANDS LÄN</t>
        </is>
      </c>
      <c r="G26" t="inlineStr">
        <is>
          <t>VALDEMARSVIK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46304</v>
      </c>
      <c r="F27" t="inlineStr">
        <is>
          <t>ÖSTERGÖTLANDS LÄN</t>
        </is>
      </c>
      <c r="G27" t="inlineStr">
        <is>
          <t>VALDEMARSVIK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46304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46304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46304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46304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46304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46304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46304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46304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46304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46304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46304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46304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46304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46304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46304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46304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46304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46304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46304</v>
      </c>
      <c r="F46" t="inlineStr">
        <is>
          <t>ÖSTERGÖTLANDS LÄN</t>
        </is>
      </c>
      <c r="G46" t="inlineStr">
        <is>
          <t>VALDEMARSVIK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58100-2021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46304</v>
      </c>
      <c r="F47" t="inlineStr">
        <is>
          <t>ÖSTERGÖTLANDS LÄN</t>
        </is>
      </c>
      <c r="G47" t="inlineStr">
        <is>
          <t>VALDEMARSVIK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46304</v>
      </c>
      <c r="F48" t="inlineStr">
        <is>
          <t>ÖSTERGÖTLANDS LÄN</t>
        </is>
      </c>
      <c r="G48" t="inlineStr">
        <is>
          <t>VALDEMARSVIK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46304</v>
      </c>
      <c r="F49" t="inlineStr">
        <is>
          <t>ÖSTERGÖTLANDS LÄN</t>
        </is>
      </c>
      <c r="G49" t="inlineStr">
        <is>
          <t>VALDEMARSVIK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44728</v>
      </c>
      <c r="E50" s="1" t="n">
        <v>46304</v>
      </c>
      <c r="F50" t="inlineStr">
        <is>
          <t>ÖSTERGÖTLANDS LÄN</t>
        </is>
      </c>
      <c r="G50" t="inlineStr">
        <is>
          <t>VALDEMARSVIK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46304</v>
      </c>
      <c r="F51" t="inlineStr">
        <is>
          <t>ÖSTERGÖTLANDS LÄN</t>
        </is>
      </c>
      <c r="G51" t="inlineStr">
        <is>
          <t>VALDEMARSVIK</t>
        </is>
      </c>
      <c r="I51" t="n">
        <v>5.4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45687</v>
      </c>
      <c r="E52" s="1" t="n">
        <v>46304</v>
      </c>
      <c r="F52" t="inlineStr">
        <is>
          <t>ÖSTERGÖTLANDS LÄN</t>
        </is>
      </c>
      <c r="G52" t="inlineStr">
        <is>
          <t>VALDEMARSVIK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45597</v>
      </c>
      <c r="E53" s="1" t="n">
        <v>46304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Holmen skog AB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7634-2022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46304</v>
      </c>
      <c r="F54" t="inlineStr">
        <is>
          <t>ÖSTERGÖTLANDS LÄN</t>
        </is>
      </c>
      <c r="G54" t="inlineStr">
        <is>
          <t>VALDEMARSVIK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45590</v>
      </c>
      <c r="E55" s="1" t="n">
        <v>46304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45540</v>
      </c>
      <c r="E56" s="1" t="n">
        <v>46304</v>
      </c>
      <c r="F56" t="inlineStr">
        <is>
          <t>ÖSTERGÖTLANDS LÄN</t>
        </is>
      </c>
      <c r="G56" t="inlineStr">
        <is>
          <t>VALDEMARSVIK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45433</v>
      </c>
      <c r="E57" s="1" t="n">
        <v>46304</v>
      </c>
      <c r="F57" t="inlineStr">
        <is>
          <t>ÖSTERGÖTLANDS LÄN</t>
        </is>
      </c>
      <c r="G57" t="inlineStr">
        <is>
          <t>VALDEMARSVIK</t>
        </is>
      </c>
      <c r="I57" t="n">
        <v>11.9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18961-2022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44690</v>
      </c>
      <c r="E58" s="1" t="n">
        <v>46304</v>
      </c>
      <c r="F58" t="inlineStr">
        <is>
          <t>ÖSTERGÖTLANDS LÄN</t>
        </is>
      </c>
      <c r="G58" t="inlineStr">
        <is>
          <t>VALDEMARSVIK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46304</v>
      </c>
      <c r="F59" t="inlineStr">
        <is>
          <t>ÖSTERGÖTLANDS LÄN</t>
        </is>
      </c>
      <c r="G59" t="inlineStr">
        <is>
          <t>VALDEMARSVIK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35908-2023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46304</v>
      </c>
      <c r="F60" t="inlineStr">
        <is>
          <t>ÖSTERGÖTLANDS LÄN</t>
        </is>
      </c>
      <c r="G60" t="inlineStr">
        <is>
          <t>VALDEMARSVIK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46304</v>
      </c>
      <c r="F61" t="inlineStr">
        <is>
          <t>ÖSTERGÖTLANDS LÄN</t>
        </is>
      </c>
      <c r="G61" t="inlineStr">
        <is>
          <t>VALDEMARSVIK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44957</v>
      </c>
      <c r="E62" s="1" t="n">
        <v>46304</v>
      </c>
      <c r="F62" t="inlineStr">
        <is>
          <t>ÖSTERGÖTLANDS LÄN</t>
        </is>
      </c>
      <c r="G62" t="inlineStr">
        <is>
          <t>VALDEMARSVIK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59516-2023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45254</v>
      </c>
      <c r="E63" s="1" t="n">
        <v>46304</v>
      </c>
      <c r="F63" t="inlineStr">
        <is>
          <t>ÖSTERGÖTLANDS LÄN</t>
        </is>
      </c>
      <c r="G63" t="inlineStr">
        <is>
          <t>VALDEMARSVIK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46304</v>
      </c>
      <c r="F64" t="inlineStr">
        <is>
          <t>ÖSTERGÖTLANDS LÄN</t>
        </is>
      </c>
      <c r="G64" t="inlineStr">
        <is>
          <t>VALDEMARSVIK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45189</v>
      </c>
      <c r="E65" s="1" t="n">
        <v>46304</v>
      </c>
      <c r="F65" t="inlineStr">
        <is>
          <t>ÖSTERGÖTLANDS LÄN</t>
        </is>
      </c>
      <c r="G65" t="inlineStr">
        <is>
          <t>VALDEMARSVIK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45020</v>
      </c>
      <c r="E66" s="1" t="n">
        <v>46304</v>
      </c>
      <c r="F66" t="inlineStr">
        <is>
          <t>ÖSTERGÖTLANDS LÄN</t>
        </is>
      </c>
      <c r="G66" t="inlineStr">
        <is>
          <t>VALDEMARSVIK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16342-2023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45028</v>
      </c>
      <c r="E67" s="1" t="n">
        <v>46304</v>
      </c>
      <c r="F67" t="inlineStr">
        <is>
          <t>ÖSTERGÖTLANDS LÄN</t>
        </is>
      </c>
      <c r="G67" t="inlineStr">
        <is>
          <t>VALDEMARSVIK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46304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29008-2022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44749</v>
      </c>
      <c r="E69" s="1" t="n">
        <v>46304</v>
      </c>
      <c r="F69" t="inlineStr">
        <is>
          <t>ÖSTERGÖTLANDS LÄN</t>
        </is>
      </c>
      <c r="G69" t="inlineStr">
        <is>
          <t>VALDEMARSVIK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44949</v>
      </c>
      <c r="E70" s="1" t="n">
        <v>46304</v>
      </c>
      <c r="F70" t="inlineStr">
        <is>
          <t>ÖSTERGÖTLANDS LÄN</t>
        </is>
      </c>
      <c r="G70" t="inlineStr">
        <is>
          <t>VALDEMARSVIK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45719</v>
      </c>
      <c r="E71" s="1" t="n">
        <v>46304</v>
      </c>
      <c r="F71" t="inlineStr">
        <is>
          <t>ÖSTERGÖTLANDS LÄN</t>
        </is>
      </c>
      <c r="G71" t="inlineStr">
        <is>
          <t>VALDEMARSVIK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41881-2023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46304</v>
      </c>
      <c r="F72" t="inlineStr">
        <is>
          <t>ÖSTERGÖTLANDS LÄN</t>
        </is>
      </c>
      <c r="G72" t="inlineStr">
        <is>
          <t>VALDEMARSVIK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45336</v>
      </c>
      <c r="E73" s="1" t="n">
        <v>46304</v>
      </c>
      <c r="F73" t="inlineStr">
        <is>
          <t>ÖSTERGÖTLANDS LÄN</t>
        </is>
      </c>
      <c r="G73" t="inlineStr">
        <is>
          <t>VALDEMARSVIK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46304</v>
      </c>
      <c r="F74" t="inlineStr">
        <is>
          <t>ÖSTERGÖTLANDS LÄN</t>
        </is>
      </c>
      <c r="G74" t="inlineStr">
        <is>
          <t>VALDEMARSVIK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47205-2023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45202</v>
      </c>
      <c r="E75" s="1" t="n">
        <v>46304</v>
      </c>
      <c r="F75" t="inlineStr">
        <is>
          <t>ÖSTERGÖTLANDS LÄN</t>
        </is>
      </c>
      <c r="G75" t="inlineStr">
        <is>
          <t>VALDEMARSVIK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44833</v>
      </c>
      <c r="E76" s="1" t="n">
        <v>46304</v>
      </c>
      <c r="F76" t="inlineStr">
        <is>
          <t>ÖSTERGÖTLANDS LÄN</t>
        </is>
      </c>
      <c r="G76" t="inlineStr">
        <is>
          <t>VALDEMARSVIK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45204</v>
      </c>
      <c r="E77" s="1" t="n">
        <v>46304</v>
      </c>
      <c r="F77" t="inlineStr">
        <is>
          <t>ÖSTERGÖTLANDS LÄN</t>
        </is>
      </c>
      <c r="G77" t="inlineStr">
        <is>
          <t>VALDEMARSVIK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44592</v>
      </c>
      <c r="E78" s="1" t="n">
        <v>46304</v>
      </c>
      <c r="F78" t="inlineStr">
        <is>
          <t>ÖSTERGÖTLANDS LÄN</t>
        </is>
      </c>
      <c r="G78" t="inlineStr">
        <is>
          <t>VALDEMARSVIK</t>
        </is>
      </c>
      <c r="I78" t="n">
        <v>11.6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44559-2023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46304</v>
      </c>
      <c r="F79" t="inlineStr">
        <is>
          <t>ÖSTERGÖTLANDS LÄN</t>
        </is>
      </c>
      <c r="G79" t="inlineStr">
        <is>
          <t>VALDEMARSVIK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45183</v>
      </c>
      <c r="E80" s="1" t="n">
        <v>46304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62914-2023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46304</v>
      </c>
      <c r="F81" t="inlineStr">
        <is>
          <t>ÖSTERGÖTLANDS LÄN</t>
        </is>
      </c>
      <c r="G81" t="inlineStr">
        <is>
          <t>VALDEMARSVIK</t>
        </is>
      </c>
      <c r="H81" t="inlineStr">
        <is>
          <t>Övriga Aktiebolag</t>
        </is>
      </c>
      <c r="I81" t="n">
        <v>11.1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46304</v>
      </c>
      <c r="F82" t="inlineStr">
        <is>
          <t>ÖSTERGÖTLANDS LÄN</t>
        </is>
      </c>
      <c r="G82" t="inlineStr">
        <is>
          <t>VALDEMARSVIK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45158</v>
      </c>
      <c r="E83" s="1" t="n">
        <v>46304</v>
      </c>
      <c r="F83" t="inlineStr">
        <is>
          <t>ÖSTERGÖTLANDS LÄN</t>
        </is>
      </c>
      <c r="G83" t="inlineStr">
        <is>
          <t>VALDEMARSVIK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46304</v>
      </c>
      <c r="F84" t="inlineStr">
        <is>
          <t>ÖSTERGÖTLANDS LÄN</t>
        </is>
      </c>
      <c r="G84" t="inlineStr">
        <is>
          <t>VALDEMARSVIK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46304</v>
      </c>
      <c r="F85" t="inlineStr">
        <is>
          <t>ÖSTERGÖTLANDS LÄN</t>
        </is>
      </c>
      <c r="G85" t="inlineStr">
        <is>
          <t>VALDEMARSVIK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45036</v>
      </c>
      <c r="E86" s="1" t="n">
        <v>46304</v>
      </c>
      <c r="F86" t="inlineStr">
        <is>
          <t>ÖSTERGÖTLANDS LÄN</t>
        </is>
      </c>
      <c r="G86" t="inlineStr">
        <is>
          <t>VALDEMARSVIK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35659-2022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44799</v>
      </c>
      <c r="E87" s="1" t="n">
        <v>46304</v>
      </c>
      <c r="F87" t="inlineStr">
        <is>
          <t>ÖSTERGÖTLANDS LÄN</t>
        </is>
      </c>
      <c r="G87" t="inlineStr">
        <is>
          <t>VALDEMARSVIK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58262-2022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46304</v>
      </c>
      <c r="F88" t="inlineStr">
        <is>
          <t>ÖSTERGÖTLANDS LÄN</t>
        </is>
      </c>
      <c r="G88" t="inlineStr">
        <is>
          <t>VALDEMARSVIK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59399-2021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46304</v>
      </c>
      <c r="F89" t="inlineStr">
        <is>
          <t>ÖSTERGÖTLANDS LÄN</t>
        </is>
      </c>
      <c r="G89" t="inlineStr">
        <is>
          <t>VALDEMARSVIK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44587</v>
      </c>
      <c r="E90" s="1" t="n">
        <v>46304</v>
      </c>
      <c r="F90" t="inlineStr">
        <is>
          <t>ÖSTERGÖTLANDS LÄN</t>
        </is>
      </c>
      <c r="G90" t="inlineStr">
        <is>
          <t>VALDEMARSVIK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44749</v>
      </c>
      <c r="E91" s="1" t="n">
        <v>46304</v>
      </c>
      <c r="F91" t="inlineStr">
        <is>
          <t>ÖSTERGÖTLANDS LÄN</t>
        </is>
      </c>
      <c r="G91" t="inlineStr">
        <is>
          <t>VALDEMARSVIK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22974-2025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45790</v>
      </c>
      <c r="E92" s="1" t="n">
        <v>46304</v>
      </c>
      <c r="F92" t="inlineStr">
        <is>
          <t>ÖSTERGÖTLANDS LÄN</t>
        </is>
      </c>
      <c r="G92" t="inlineStr">
        <is>
          <t>VALDEMARSVIK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46304</v>
      </c>
      <c r="F93" t="inlineStr">
        <is>
          <t>ÖSTERGÖTLANDS LÄN</t>
        </is>
      </c>
      <c r="G93" t="inlineStr">
        <is>
          <t>VALDEMARSVIK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45404</v>
      </c>
      <c r="E94" s="1" t="n">
        <v>46304</v>
      </c>
      <c r="F94" t="inlineStr">
        <is>
          <t>ÖSTERGÖTLANDS LÄN</t>
        </is>
      </c>
      <c r="G94" t="inlineStr">
        <is>
          <t>VALDEMARSVIK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45624</v>
      </c>
      <c r="E95" s="1" t="n">
        <v>46304</v>
      </c>
      <c r="F95" t="inlineStr">
        <is>
          <t>ÖSTERGÖTLANDS LÄN</t>
        </is>
      </c>
      <c r="G95" t="inlineStr">
        <is>
          <t>VALDEMARSVIK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44949</v>
      </c>
      <c r="E96" s="1" t="n">
        <v>46304</v>
      </c>
      <c r="F96" t="inlineStr">
        <is>
          <t>ÖSTERGÖTLANDS LÄN</t>
        </is>
      </c>
      <c r="G96" t="inlineStr">
        <is>
          <t>VALDEMARSVIK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50606-2024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45601</v>
      </c>
      <c r="E97" s="1" t="n">
        <v>46304</v>
      </c>
      <c r="F97" t="inlineStr">
        <is>
          <t>ÖSTERGÖTLANDS LÄN</t>
        </is>
      </c>
      <c r="G97" t="inlineStr">
        <is>
          <t>VALDEMARSVIK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46304</v>
      </c>
      <c r="F98" t="inlineStr">
        <is>
          <t>ÖSTERGÖTLANDS LÄN</t>
        </is>
      </c>
      <c r="G98" t="inlineStr">
        <is>
          <t>VALDEMARSVIK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46304</v>
      </c>
      <c r="F99" t="inlineStr">
        <is>
          <t>ÖSTERGÖTLANDS LÄN</t>
        </is>
      </c>
      <c r="G99" t="inlineStr">
        <is>
          <t>VALDEMARSVIK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45035</v>
      </c>
      <c r="E100" s="1" t="n">
        <v>46304</v>
      </c>
      <c r="F100" t="inlineStr">
        <is>
          <t>ÖSTERGÖTLANDS LÄN</t>
        </is>
      </c>
      <c r="G100" t="inlineStr">
        <is>
          <t>VALDEMARSVIK</t>
        </is>
      </c>
      <c r="H100" t="inlineStr">
        <is>
          <t>Holmen skog AB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46304</v>
      </c>
      <c r="F101" t="inlineStr">
        <is>
          <t>ÖSTERGÖTLANDS LÄN</t>
        </is>
      </c>
      <c r="G101" t="inlineStr">
        <is>
          <t>VALDEMARSVIK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44937</v>
      </c>
      <c r="E102" s="1" t="n">
        <v>46304</v>
      </c>
      <c r="F102" t="inlineStr">
        <is>
          <t>ÖSTERGÖTLANDS LÄN</t>
        </is>
      </c>
      <c r="G102" t="inlineStr">
        <is>
          <t>VALDEMARSVIK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60285-2023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45258</v>
      </c>
      <c r="E103" s="1" t="n">
        <v>46304</v>
      </c>
      <c r="F103" t="inlineStr">
        <is>
          <t>ÖSTERGÖTLANDS LÄN</t>
        </is>
      </c>
      <c r="G103" t="inlineStr">
        <is>
          <t>VALDEMARSVIK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46304</v>
      </c>
      <c r="F104" t="inlineStr">
        <is>
          <t>ÖSTERGÖTLANDS LÄN</t>
        </is>
      </c>
      <c r="G104" t="inlineStr">
        <is>
          <t>VALDEMARSVIK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44883</v>
      </c>
      <c r="E105" s="1" t="n">
        <v>46304</v>
      </c>
      <c r="F105" t="inlineStr">
        <is>
          <t>ÖSTERGÖTLANDS LÄN</t>
        </is>
      </c>
      <c r="G105" t="inlineStr">
        <is>
          <t>VALDEMARSVIK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45176</v>
      </c>
      <c r="E106" s="1" t="n">
        <v>46304</v>
      </c>
      <c r="F106" t="inlineStr">
        <is>
          <t>ÖSTERGÖTLANDS LÄN</t>
        </is>
      </c>
      <c r="G106" t="inlineStr">
        <is>
          <t>VALDEMARSVIK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48158-2023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46304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Kommuner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46304</v>
      </c>
      <c r="F108" t="inlineStr">
        <is>
          <t>ÖSTERGÖTLANDS LÄN</t>
        </is>
      </c>
      <c r="G108" t="inlineStr">
        <is>
          <t>VALDEMARSVIK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46304</v>
      </c>
      <c r="F109" t="inlineStr">
        <is>
          <t>ÖSTERGÖTLANDS LÄN</t>
        </is>
      </c>
      <c r="G109" t="inlineStr">
        <is>
          <t>VALDEMARSVIK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46304</v>
      </c>
      <c r="F110" t="inlineStr">
        <is>
          <t>ÖSTERGÖTLANDS LÄN</t>
        </is>
      </c>
      <c r="G110" t="inlineStr">
        <is>
          <t>VALDEMARSVIK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46304</v>
      </c>
      <c r="F111" t="inlineStr">
        <is>
          <t>ÖSTERGÖTLANDS LÄN</t>
        </is>
      </c>
      <c r="G111" t="inlineStr">
        <is>
          <t>VALDEMARSVIK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46105</v>
      </c>
      <c r="E112" s="1" t="n">
        <v>46304</v>
      </c>
      <c r="F112" t="inlineStr">
        <is>
          <t>ÖSTERGÖTLANDS LÄN</t>
        </is>
      </c>
      <c r="G112" t="inlineStr">
        <is>
          <t>VALDEMARSVIK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46304</v>
      </c>
      <c r="F113" t="inlineStr">
        <is>
          <t>ÖSTERGÖTLANDS LÄN</t>
        </is>
      </c>
      <c r="G113" t="inlineStr">
        <is>
          <t>VALDEMARSVIK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46304</v>
      </c>
      <c r="F114" t="inlineStr">
        <is>
          <t>ÖSTERGÖTLANDS LÄN</t>
        </is>
      </c>
      <c r="G114" t="inlineStr">
        <is>
          <t>VALDEMARSVIK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46304</v>
      </c>
      <c r="F115" t="inlineStr">
        <is>
          <t>ÖSTERGÖTLANDS LÄN</t>
        </is>
      </c>
      <c r="G115" t="inlineStr">
        <is>
          <t>VALDEMARSVIK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46304</v>
      </c>
      <c r="F116" t="inlineStr">
        <is>
          <t>ÖSTERGÖTLANDS LÄN</t>
        </is>
      </c>
      <c r="G116" t="inlineStr">
        <is>
          <t>VALDEMARSVIK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44942</v>
      </c>
      <c r="E117" s="1" t="n">
        <v>46304</v>
      </c>
      <c r="F117" t="inlineStr">
        <is>
          <t>ÖSTERGÖTLANDS LÄN</t>
        </is>
      </c>
      <c r="G117" t="inlineStr">
        <is>
          <t>VALDEMARSVIK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15138-2026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46105</v>
      </c>
      <c r="E118" s="1" t="n">
        <v>46304</v>
      </c>
      <c r="F118" t="inlineStr">
        <is>
          <t>ÖSTERGÖTLANDS LÄN</t>
        </is>
      </c>
      <c r="G118" t="inlineStr">
        <is>
          <t>VALDEMARSVIK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15096-2026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46105</v>
      </c>
      <c r="E119" s="1" t="n">
        <v>46304</v>
      </c>
      <c r="F119" t="inlineStr">
        <is>
          <t>ÖSTERGÖTLANDS LÄN</t>
        </is>
      </c>
      <c r="G119" t="inlineStr">
        <is>
          <t>VALDEMARSVIK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45354</v>
      </c>
      <c r="E120" s="1" t="n">
        <v>46304</v>
      </c>
      <c r="F120" t="inlineStr">
        <is>
          <t>ÖSTERGÖTLANDS LÄN</t>
        </is>
      </c>
      <c r="G120" t="inlineStr">
        <is>
          <t>VALDEMARSVIK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57513-2022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44896</v>
      </c>
      <c r="E121" s="1" t="n">
        <v>46304</v>
      </c>
      <c r="F121" t="inlineStr">
        <is>
          <t>ÖSTERGÖTLANDS LÄN</t>
        </is>
      </c>
      <c r="G121" t="inlineStr">
        <is>
          <t>VALDEMARSVIK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46304</v>
      </c>
      <c r="F122" t="inlineStr">
        <is>
          <t>ÖSTERGÖTLANDS LÄN</t>
        </is>
      </c>
      <c r="G122" t="inlineStr">
        <is>
          <t>VALDEMARSVIK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46304</v>
      </c>
      <c r="F123" t="inlineStr">
        <is>
          <t>ÖSTERGÖTLANDS LÄN</t>
        </is>
      </c>
      <c r="G123" t="inlineStr">
        <is>
          <t>VALDEMARSVIK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44585</v>
      </c>
      <c r="E124" s="1" t="n">
        <v>46304</v>
      </c>
      <c r="F124" t="inlineStr">
        <is>
          <t>ÖSTERGÖTLANDS LÄN</t>
        </is>
      </c>
      <c r="G124" t="inlineStr">
        <is>
          <t>VALDEMARSVIK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46304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44985</v>
      </c>
      <c r="E126" s="1" t="n">
        <v>46304</v>
      </c>
      <c r="F126" t="inlineStr">
        <is>
          <t>ÖSTERGÖTLANDS LÄN</t>
        </is>
      </c>
      <c r="G126" t="inlineStr">
        <is>
          <t>VALDEMARSVIK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45481</v>
      </c>
      <c r="E127" s="1" t="n">
        <v>46304</v>
      </c>
      <c r="F127" t="inlineStr">
        <is>
          <t>ÖSTERGÖTLANDS LÄN</t>
        </is>
      </c>
      <c r="G127" t="inlineStr">
        <is>
          <t>VALDEMARSVIK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45228</v>
      </c>
      <c r="E128" s="1" t="n">
        <v>46304</v>
      </c>
      <c r="F128" t="inlineStr">
        <is>
          <t>ÖSTERGÖTLANDS LÄN</t>
        </is>
      </c>
      <c r="G128" t="inlineStr">
        <is>
          <t>VALDEMARSVIK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46304</v>
      </c>
      <c r="F129" t="inlineStr">
        <is>
          <t>ÖSTERGÖTLANDS LÄN</t>
        </is>
      </c>
      <c r="G129" t="inlineStr">
        <is>
          <t>VALDEMARSVIK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44897</v>
      </c>
      <c r="E130" s="1" t="n">
        <v>46304</v>
      </c>
      <c r="F130" t="inlineStr">
        <is>
          <t>ÖSTERGÖTLANDS LÄN</t>
        </is>
      </c>
      <c r="G130" t="inlineStr">
        <is>
          <t>VALDEMARSVIK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40728-2023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45170</v>
      </c>
      <c r="E131" s="1" t="n">
        <v>46304</v>
      </c>
      <c r="F131" t="inlineStr">
        <is>
          <t>ÖSTERGÖTLANDS LÄN</t>
        </is>
      </c>
      <c r="G131" t="inlineStr">
        <is>
          <t>VALDEMARSVIK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45761</v>
      </c>
      <c r="E132" s="1" t="n">
        <v>46304</v>
      </c>
      <c r="F132" t="inlineStr">
        <is>
          <t>ÖSTERGÖTLANDS LÄN</t>
        </is>
      </c>
      <c r="G132" t="inlineStr">
        <is>
          <t>VALDEMARSVIK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45411</v>
      </c>
      <c r="E133" s="1" t="n">
        <v>46304</v>
      </c>
      <c r="F133" t="inlineStr">
        <is>
          <t>ÖSTERGÖTLANDS LÄN</t>
        </is>
      </c>
      <c r="G133" t="inlineStr">
        <is>
          <t>VALDEMARSVIK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45685</v>
      </c>
      <c r="E134" s="1" t="n">
        <v>46304</v>
      </c>
      <c r="F134" t="inlineStr">
        <is>
          <t>ÖSTERGÖTLANDS LÄN</t>
        </is>
      </c>
      <c r="G134" t="inlineStr">
        <is>
          <t>VALDEMARSVIK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45632</v>
      </c>
      <c r="E135" s="1" t="n">
        <v>46304</v>
      </c>
      <c r="F135" t="inlineStr">
        <is>
          <t>ÖSTERGÖTLANDS LÄN</t>
        </is>
      </c>
      <c r="G135" t="inlineStr">
        <is>
          <t>VALDEMARSVIK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47219-2022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44852</v>
      </c>
      <c r="E136" s="1" t="n">
        <v>46304</v>
      </c>
      <c r="F136" t="inlineStr">
        <is>
          <t>ÖSTERGÖTLANDS LÄN</t>
        </is>
      </c>
      <c r="G136" t="inlineStr">
        <is>
          <t>VALDEMARSVIK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46304</v>
      </c>
      <c r="F137" t="inlineStr">
        <is>
          <t>ÖSTERGÖTLANDS LÄN</t>
        </is>
      </c>
      <c r="G137" t="inlineStr">
        <is>
          <t>VALDEMARSVIK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45352</v>
      </c>
      <c r="E138" s="1" t="n">
        <v>46304</v>
      </c>
      <c r="F138" t="inlineStr">
        <is>
          <t>ÖSTERGÖTLANDS LÄN</t>
        </is>
      </c>
      <c r="G138" t="inlineStr">
        <is>
          <t>VALDEMARSVIK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19925-2024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45433</v>
      </c>
      <c r="E139" s="1" t="n">
        <v>46304</v>
      </c>
      <c r="F139" t="inlineStr">
        <is>
          <t>ÖSTERGÖTLANDS LÄN</t>
        </is>
      </c>
      <c r="G139" t="inlineStr">
        <is>
          <t>VALDEMARSVIK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46304</v>
      </c>
      <c r="F140" t="inlineStr">
        <is>
          <t>ÖSTERGÖTLANDS LÄN</t>
        </is>
      </c>
      <c r="G140" t="inlineStr">
        <is>
          <t>VALDEMARSVIK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45258</v>
      </c>
      <c r="E141" s="1" t="n">
        <v>46304</v>
      </c>
      <c r="F141" t="inlineStr">
        <is>
          <t>ÖSTERGÖTLANDS LÄN</t>
        </is>
      </c>
      <c r="G141" t="inlineStr">
        <is>
          <t>VALDEMARSVIK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46304</v>
      </c>
      <c r="F142" t="inlineStr">
        <is>
          <t>ÖSTERGÖTLANDS LÄN</t>
        </is>
      </c>
      <c r="G142" t="inlineStr">
        <is>
          <t>VALDEMARSVIK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46304</v>
      </c>
      <c r="F143" t="inlineStr">
        <is>
          <t>ÖSTERGÖTLANDS LÄN</t>
        </is>
      </c>
      <c r="G143" t="inlineStr">
        <is>
          <t>VALDEMARSVIK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46304</v>
      </c>
      <c r="F144" t="inlineStr">
        <is>
          <t>ÖSTERGÖTLANDS LÄN</t>
        </is>
      </c>
      <c r="G144" t="inlineStr">
        <is>
          <t>VALDEMARSVIK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46304</v>
      </c>
      <c r="F145" t="inlineStr">
        <is>
          <t>ÖSTERGÖTLANDS LÄN</t>
        </is>
      </c>
      <c r="G145" t="inlineStr">
        <is>
          <t>VALDEMARSVIK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44587</v>
      </c>
      <c r="E146" s="1" t="n">
        <v>46304</v>
      </c>
      <c r="F146" t="inlineStr">
        <is>
          <t>ÖSTERGÖTLANDS LÄN</t>
        </is>
      </c>
      <c r="G146" t="inlineStr">
        <is>
          <t>VALDEMARSVIK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45782</v>
      </c>
      <c r="E147" s="1" t="n">
        <v>46304</v>
      </c>
      <c r="F147" t="inlineStr">
        <is>
          <t>ÖSTERGÖTLANDS LÄN</t>
        </is>
      </c>
      <c r="G147" t="inlineStr">
        <is>
          <t>VALDEMARSVIK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44725</v>
      </c>
      <c r="E148" s="1" t="n">
        <v>46304</v>
      </c>
      <c r="F148" t="inlineStr">
        <is>
          <t>ÖSTERGÖTLANDS LÄN</t>
        </is>
      </c>
      <c r="G148" t="inlineStr">
        <is>
          <t>VALDEMARSVIK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45793</v>
      </c>
      <c r="E149" s="1" t="n">
        <v>46304</v>
      </c>
      <c r="F149" t="inlineStr">
        <is>
          <t>ÖSTERGÖTLANDS LÄN</t>
        </is>
      </c>
      <c r="G149" t="inlineStr">
        <is>
          <t>VALDEMARSVIK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45999</v>
      </c>
      <c r="E150" s="1" t="n">
        <v>46304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Holmen skog AB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46304</v>
      </c>
      <c r="F151" t="inlineStr">
        <is>
          <t>ÖSTERGÖTLANDS LÄN</t>
        </is>
      </c>
      <c r="G151" t="inlineStr">
        <is>
          <t>VALDEMARSVIK</t>
        </is>
      </c>
      <c r="H151" t="inlineStr">
        <is>
          <t>Holmen skog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46304</v>
      </c>
      <c r="F152" t="inlineStr">
        <is>
          <t>ÖSTERGÖTLANDS LÄN</t>
        </is>
      </c>
      <c r="G152" t="inlineStr">
        <is>
          <t>VALDEMARSVIK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46304</v>
      </c>
      <c r="F153" t="inlineStr">
        <is>
          <t>ÖSTERGÖTLANDS LÄN</t>
        </is>
      </c>
      <c r="G153" t="inlineStr">
        <is>
          <t>VALDEMARSVIK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46304</v>
      </c>
      <c r="F154" t="inlineStr">
        <is>
          <t>ÖSTERGÖTLANDS LÄN</t>
        </is>
      </c>
      <c r="G154" t="inlineStr">
        <is>
          <t>VALDEMARSVIK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46304</v>
      </c>
      <c r="F155" t="inlineStr">
        <is>
          <t>ÖSTERGÖTLANDS LÄN</t>
        </is>
      </c>
      <c r="G155" t="inlineStr">
        <is>
          <t>VALDEMARSVIK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42623-2024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45565</v>
      </c>
      <c r="E156" s="1" t="n">
        <v>46304</v>
      </c>
      <c r="F156" t="inlineStr">
        <is>
          <t>ÖSTERGÖTLANDS LÄN</t>
        </is>
      </c>
      <c r="G156" t="inlineStr">
        <is>
          <t>VALDEMARSVIK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46304</v>
      </c>
      <c r="F157" t="inlineStr">
        <is>
          <t>ÖSTERGÖTLANDS LÄN</t>
        </is>
      </c>
      <c r="G157" t="inlineStr">
        <is>
          <t>VALDEMARSVIK</t>
        </is>
      </c>
      <c r="H157" t="inlineStr">
        <is>
          <t>Holmen skog AB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46304</v>
      </c>
      <c r="F158" t="inlineStr">
        <is>
          <t>ÖSTERGÖTLANDS LÄN</t>
        </is>
      </c>
      <c r="G158" t="inlineStr">
        <is>
          <t>VALDEMARSVIK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46020</v>
      </c>
      <c r="E159" s="1" t="n">
        <v>46304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46019</v>
      </c>
      <c r="E160" s="1" t="n">
        <v>46304</v>
      </c>
      <c r="F160" t="inlineStr">
        <is>
          <t>ÖSTERGÖTLANDS LÄN</t>
        </is>
      </c>
      <c r="G160" t="inlineStr">
        <is>
          <t>VALDEMARSVIK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46304</v>
      </c>
      <c r="F161" t="inlineStr">
        <is>
          <t>ÖSTERGÖTLANDS LÄN</t>
        </is>
      </c>
      <c r="G161" t="inlineStr">
        <is>
          <t>VALDEMARSVIK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63957-2025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46304</v>
      </c>
      <c r="F162" t="inlineStr">
        <is>
          <t>ÖSTERGÖTLANDS LÄN</t>
        </is>
      </c>
      <c r="G162" t="inlineStr">
        <is>
          <t>VALDEMARSVIK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46027</v>
      </c>
      <c r="E163" s="1" t="n">
        <v>46304</v>
      </c>
      <c r="F163" t="inlineStr">
        <is>
          <t>ÖSTERGÖTLANDS LÄN</t>
        </is>
      </c>
      <c r="G163" t="inlineStr">
        <is>
          <t>VALDEMARSVIK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46304</v>
      </c>
      <c r="F164" t="inlineStr">
        <is>
          <t>ÖSTERGÖTLANDS LÄN</t>
        </is>
      </c>
      <c r="G164" t="inlineStr">
        <is>
          <t>VALDEMARSVIK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46304</v>
      </c>
      <c r="F165" t="inlineStr">
        <is>
          <t>ÖSTERGÖTLANDS LÄN</t>
        </is>
      </c>
      <c r="G165" t="inlineStr">
        <is>
          <t>VALDEMARSVIK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46304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44728</v>
      </c>
      <c r="E167" s="1" t="n">
        <v>46304</v>
      </c>
      <c r="F167" t="inlineStr">
        <is>
          <t>ÖSTERGÖTLANDS LÄN</t>
        </is>
      </c>
      <c r="G167" t="inlineStr">
        <is>
          <t>VALDEMARSVIK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45339</v>
      </c>
      <c r="E168" s="1" t="n">
        <v>46304</v>
      </c>
      <c r="F168" t="inlineStr">
        <is>
          <t>ÖSTERGÖTLANDS LÄN</t>
        </is>
      </c>
      <c r="G168" t="inlineStr">
        <is>
          <t>VALDEMARSVIK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46304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44652</v>
      </c>
      <c r="E170" s="1" t="n">
        <v>46304</v>
      </c>
      <c r="F170" t="inlineStr">
        <is>
          <t>ÖSTERGÖTLANDS LÄN</t>
        </is>
      </c>
      <c r="G170" t="inlineStr">
        <is>
          <t>VALDEMARSVIK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45036</v>
      </c>
      <c r="E171" s="1" t="n">
        <v>46304</v>
      </c>
      <c r="F171" t="inlineStr">
        <is>
          <t>ÖSTERGÖTLANDS LÄN</t>
        </is>
      </c>
      <c r="G171" t="inlineStr">
        <is>
          <t>VALDEMARSVIK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44970</v>
      </c>
      <c r="E172" s="1" t="n">
        <v>46304</v>
      </c>
      <c r="F172" t="inlineStr">
        <is>
          <t>ÖSTERGÖTLANDS LÄN</t>
        </is>
      </c>
      <c r="G172" t="inlineStr">
        <is>
          <t>VALDEMARSVIK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46304</v>
      </c>
      <c r="F173" t="inlineStr">
        <is>
          <t>ÖSTERGÖTLANDS LÄN</t>
        </is>
      </c>
      <c r="G173" t="inlineStr">
        <is>
          <t>VALDEMARSVIK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46304</v>
      </c>
      <c r="F174" t="inlineStr">
        <is>
          <t>ÖSTERGÖTLANDS LÄN</t>
        </is>
      </c>
      <c r="G174" t="inlineStr">
        <is>
          <t>VALDEMARSVIK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44922</v>
      </c>
      <c r="E175" s="1" t="n">
        <v>46304</v>
      </c>
      <c r="F175" t="inlineStr">
        <is>
          <t>ÖSTERGÖTLANDS LÄN</t>
        </is>
      </c>
      <c r="G175" t="inlineStr">
        <is>
          <t>VALDEMARSVIK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45783-2023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45195</v>
      </c>
      <c r="E176" s="1" t="n">
        <v>46304</v>
      </c>
      <c r="F176" t="inlineStr">
        <is>
          <t>ÖSTERGÖTLANDS LÄN</t>
        </is>
      </c>
      <c r="G176" t="inlineStr">
        <is>
          <t>VALDEMARSVIK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46304</v>
      </c>
      <c r="F177" t="inlineStr">
        <is>
          <t>ÖSTERGÖTLANDS LÄN</t>
        </is>
      </c>
      <c r="G177" t="inlineStr">
        <is>
          <t>VALDEMARSVIK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44972</v>
      </c>
      <c r="E178" s="1" t="n">
        <v>46304</v>
      </c>
      <c r="F178" t="inlineStr">
        <is>
          <t>ÖSTERGÖTLANDS LÄN</t>
        </is>
      </c>
      <c r="G178" t="inlineStr">
        <is>
          <t>VALDEMARSVIK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54812-2022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44883</v>
      </c>
      <c r="E179" s="1" t="n">
        <v>46304</v>
      </c>
      <c r="F179" t="inlineStr">
        <is>
          <t>ÖSTERGÖTLANDS LÄN</t>
        </is>
      </c>
      <c r="G179" t="inlineStr">
        <is>
          <t>VALDEMARSVIK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46304</v>
      </c>
      <c r="F180" t="inlineStr">
        <is>
          <t>ÖSTERGÖTLANDS LÄN</t>
        </is>
      </c>
      <c r="G180" t="inlineStr">
        <is>
          <t>VALDEMARSVIK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46304</v>
      </c>
      <c r="F181" t="inlineStr">
        <is>
          <t>ÖSTERGÖTLANDS LÄN</t>
        </is>
      </c>
      <c r="G181" t="inlineStr">
        <is>
          <t>VALDEMARSVIK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46304</v>
      </c>
      <c r="F182" t="inlineStr">
        <is>
          <t>ÖSTERGÖTLANDS LÄN</t>
        </is>
      </c>
      <c r="G182" t="inlineStr">
        <is>
          <t>VALDEMARSVIK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46304</v>
      </c>
      <c r="F183" t="inlineStr">
        <is>
          <t>ÖSTERGÖTLANDS LÄN</t>
        </is>
      </c>
      <c r="G183" t="inlineStr">
        <is>
          <t>VALDEMARSVIK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45183</v>
      </c>
      <c r="E184" s="1" t="n">
        <v>46304</v>
      </c>
      <c r="F184" t="inlineStr">
        <is>
          <t>ÖSTERGÖTLANDS LÄN</t>
        </is>
      </c>
      <c r="G184" t="inlineStr">
        <is>
          <t>VALDEMARSVIK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46077</v>
      </c>
      <c r="E185" s="1" t="n">
        <v>46304</v>
      </c>
      <c r="F185" t="inlineStr">
        <is>
          <t>ÖSTERGÖTLANDS LÄN</t>
        </is>
      </c>
      <c r="G185" t="inlineStr">
        <is>
          <t>VALDEMARSVIK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31862-2022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44777</v>
      </c>
      <c r="E186" s="1" t="n">
        <v>46304</v>
      </c>
      <c r="F186" t="inlineStr">
        <is>
          <t>ÖSTERGÖTLANDS LÄN</t>
        </is>
      </c>
      <c r="G186" t="inlineStr">
        <is>
          <t>VALDEMARSVIK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44899</v>
      </c>
      <c r="E187" s="1" t="n">
        <v>46304</v>
      </c>
      <c r="F187" t="inlineStr">
        <is>
          <t>ÖSTERGÖTLANDS LÄN</t>
        </is>
      </c>
      <c r="G187" t="inlineStr">
        <is>
          <t>VALDEMARSVIK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15779-2024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45404</v>
      </c>
      <c r="E188" s="1" t="n">
        <v>46304</v>
      </c>
      <c r="F188" t="inlineStr">
        <is>
          <t>ÖSTERGÖTLANDS LÄN</t>
        </is>
      </c>
      <c r="G188" t="inlineStr">
        <is>
          <t>VALDEMARSVIK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46304</v>
      </c>
      <c r="F189" t="inlineStr">
        <is>
          <t>ÖSTERGÖTLANDS LÄN</t>
        </is>
      </c>
      <c r="G189" t="inlineStr">
        <is>
          <t>VALDEMARSVIK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21511-2025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45782</v>
      </c>
      <c r="E190" s="1" t="n">
        <v>46304</v>
      </c>
      <c r="F190" t="inlineStr">
        <is>
          <t>ÖSTERGÖTLANDS LÄN</t>
        </is>
      </c>
      <c r="G190" t="inlineStr">
        <is>
          <t>VALDEMARSVIK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46304</v>
      </c>
      <c r="F191" t="inlineStr">
        <is>
          <t>ÖSTERGÖTLANDS LÄN</t>
        </is>
      </c>
      <c r="G191" t="inlineStr">
        <is>
          <t>VALDEMARSVIK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46304</v>
      </c>
      <c r="F192" t="inlineStr">
        <is>
          <t>ÖSTERGÖTLANDS LÄN</t>
        </is>
      </c>
      <c r="G192" t="inlineStr">
        <is>
          <t>VALDEMARSVIK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46147</v>
      </c>
      <c r="E193" s="1" t="n">
        <v>46304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45257</v>
      </c>
      <c r="E194" s="1" t="n">
        <v>46304</v>
      </c>
      <c r="F194" t="inlineStr">
        <is>
          <t>ÖSTERGÖTLANDS LÄN</t>
        </is>
      </c>
      <c r="G194" t="inlineStr">
        <is>
          <t>VALDEMARSVIK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44613</v>
      </c>
      <c r="E195" s="1" t="n">
        <v>46304</v>
      </c>
      <c r="F195" t="inlineStr">
        <is>
          <t>ÖSTERGÖTLANDS LÄN</t>
        </is>
      </c>
      <c r="G195" t="inlineStr">
        <is>
          <t>VALDEMARSVIK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45569</v>
      </c>
      <c r="E196" s="1" t="n">
        <v>46304</v>
      </c>
      <c r="F196" t="inlineStr">
        <is>
          <t>ÖSTERGÖTLANDS LÄN</t>
        </is>
      </c>
      <c r="G196" t="inlineStr">
        <is>
          <t>VALDEMARSVIK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45569</v>
      </c>
      <c r="E197" s="1" t="n">
        <v>46304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Kyrkan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46154</v>
      </c>
      <c r="E198" s="1" t="n">
        <v>46304</v>
      </c>
      <c r="F198" t="inlineStr">
        <is>
          <t>ÖSTERGÖTLANDS LÄN</t>
        </is>
      </c>
      <c r="G198" t="inlineStr">
        <is>
          <t>VALDEMARSVIK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46304</v>
      </c>
      <c r="F199" t="inlineStr">
        <is>
          <t>ÖSTERGÖTLANDS LÄN</t>
        </is>
      </c>
      <c r="G199" t="inlineStr">
        <is>
          <t>VALDEMARSVIK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22292-2026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46304</v>
      </c>
      <c r="F200" t="inlineStr">
        <is>
          <t>ÖSTERGÖTLANDS LÄN</t>
        </is>
      </c>
      <c r="G200" t="inlineStr">
        <is>
          <t>VALDEMARSVIK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46155</v>
      </c>
      <c r="E201" s="1" t="n">
        <v>46304</v>
      </c>
      <c r="F201" t="inlineStr">
        <is>
          <t>ÖSTERGÖTLANDS LÄN</t>
        </is>
      </c>
      <c r="G201" t="inlineStr">
        <is>
          <t>VALDEMARSVIK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14417-2024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45394</v>
      </c>
      <c r="E202" s="1" t="n">
        <v>46304</v>
      </c>
      <c r="F202" t="inlineStr">
        <is>
          <t>ÖSTERGÖTLANDS LÄN</t>
        </is>
      </c>
      <c r="G202" t="inlineStr">
        <is>
          <t>VALDEMARSVIK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46304</v>
      </c>
      <c r="F203" t="inlineStr">
        <is>
          <t>ÖSTERGÖTLANDS LÄN</t>
        </is>
      </c>
      <c r="G203" t="inlineStr">
        <is>
          <t>VALDEMARSVIK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45133</v>
      </c>
      <c r="E204" s="1" t="n">
        <v>46304</v>
      </c>
      <c r="F204" t="inlineStr">
        <is>
          <t>ÖSTERGÖTLANDS LÄN</t>
        </is>
      </c>
      <c r="G204" t="inlineStr">
        <is>
          <t>VALDEMARSVIK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45063</v>
      </c>
      <c r="E205" s="1" t="n">
        <v>46304</v>
      </c>
      <c r="F205" t="inlineStr">
        <is>
          <t>ÖSTERGÖTLANDS LÄN</t>
        </is>
      </c>
      <c r="G205" t="inlineStr">
        <is>
          <t>VALDEMARSVIK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45546</v>
      </c>
      <c r="E206" s="1" t="n">
        <v>46304</v>
      </c>
      <c r="F206" t="inlineStr">
        <is>
          <t>ÖSTERGÖTLANDS LÄN</t>
        </is>
      </c>
      <c r="G206" t="inlineStr">
        <is>
          <t>VALDEMARSVIK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45546</v>
      </c>
      <c r="E207" s="1" t="n">
        <v>46304</v>
      </c>
      <c r="F207" t="inlineStr">
        <is>
          <t>ÖSTERGÖTLANDS LÄN</t>
        </is>
      </c>
      <c r="G207" t="inlineStr">
        <is>
          <t>VALDEMARSVIK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45719</v>
      </c>
      <c r="E208" s="1" t="n">
        <v>46304</v>
      </c>
      <c r="F208" t="inlineStr">
        <is>
          <t>ÖSTERGÖTLANDS LÄN</t>
        </is>
      </c>
      <c r="G208" t="inlineStr">
        <is>
          <t>VALDEMARSVIK</t>
        </is>
      </c>
      <c r="I208" t="n">
        <v>10.3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44575</v>
      </c>
      <c r="E209" s="1" t="n">
        <v>46304</v>
      </c>
      <c r="F209" t="inlineStr">
        <is>
          <t>ÖSTERGÖTLANDS LÄN</t>
        </is>
      </c>
      <c r="G209" t="inlineStr">
        <is>
          <t>VALDEMARSVIK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45173</v>
      </c>
      <c r="E210" s="1" t="n">
        <v>46304</v>
      </c>
      <c r="F210" t="inlineStr">
        <is>
          <t>ÖSTERGÖTLANDS LÄN</t>
        </is>
      </c>
      <c r="G210" t="inlineStr">
        <is>
          <t>VALDEMARSVIK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44722</v>
      </c>
      <c r="E211" s="1" t="n">
        <v>46304</v>
      </c>
      <c r="F211" t="inlineStr">
        <is>
          <t>ÖSTERGÖTLANDS LÄN</t>
        </is>
      </c>
      <c r="G211" t="inlineStr">
        <is>
          <t>VALDEMARSVIK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46304</v>
      </c>
      <c r="F212" t="inlineStr">
        <is>
          <t>ÖSTERGÖTLANDS LÄN</t>
        </is>
      </c>
      <c r="G212" t="inlineStr">
        <is>
          <t>VALDEMARSVIK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46304</v>
      </c>
      <c r="F213" t="inlineStr">
        <is>
          <t>ÖSTERGÖTLANDS LÄN</t>
        </is>
      </c>
      <c r="G213" t="inlineStr">
        <is>
          <t>VALDEMARSVIK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46304</v>
      </c>
      <c r="F214" t="inlineStr">
        <is>
          <t>ÖSTERGÖTLANDS LÄN</t>
        </is>
      </c>
      <c r="G214" t="inlineStr">
        <is>
          <t>VALDEMARSVIK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45195</v>
      </c>
      <c r="E215" s="1" t="n">
        <v>46304</v>
      </c>
      <c r="F215" t="inlineStr">
        <is>
          <t>ÖSTERGÖTLANDS LÄN</t>
        </is>
      </c>
      <c r="G215" t="inlineStr">
        <is>
          <t>VALDEMARSVIK</t>
        </is>
      </c>
      <c r="I215" t="n">
        <v>15.8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46304</v>
      </c>
      <c r="F216" t="inlineStr">
        <is>
          <t>ÖSTERGÖTLANDS LÄN</t>
        </is>
      </c>
      <c r="G216" t="inlineStr">
        <is>
          <t>VALDEMARSVIK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57144-2024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46304</v>
      </c>
      <c r="F217" t="inlineStr">
        <is>
          <t>ÖSTERGÖTLANDS LÄN</t>
        </is>
      </c>
      <c r="G217" t="inlineStr">
        <is>
          <t>VALDEMARSVIK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44949</v>
      </c>
      <c r="E218" s="1" t="n">
        <v>46304</v>
      </c>
      <c r="F218" t="inlineStr">
        <is>
          <t>ÖSTERGÖTLANDS LÄN</t>
        </is>
      </c>
      <c r="G218" t="inlineStr">
        <is>
          <t>VALDEMARSVIK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46304</v>
      </c>
      <c r="F219" t="inlineStr">
        <is>
          <t>ÖSTERGÖTLANDS LÄN</t>
        </is>
      </c>
      <c r="G219" t="inlineStr">
        <is>
          <t>VALDEMARSVIK</t>
        </is>
      </c>
      <c r="H219" t="inlineStr">
        <is>
          <t>Holmen skog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44918</v>
      </c>
      <c r="E220" s="1" t="n">
        <v>46304</v>
      </c>
      <c r="F220" t="inlineStr">
        <is>
          <t>ÖSTERGÖTLANDS LÄN</t>
        </is>
      </c>
      <c r="G220" t="inlineStr">
        <is>
          <t>VALDEMARSVIK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46304</v>
      </c>
      <c r="F221" t="inlineStr">
        <is>
          <t>ÖSTERGÖTLANDS LÄN</t>
        </is>
      </c>
      <c r="G221" t="inlineStr">
        <is>
          <t>VALDEMARSVIK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46304</v>
      </c>
      <c r="F222" t="inlineStr">
        <is>
          <t>ÖSTERGÖTLANDS LÄN</t>
        </is>
      </c>
      <c r="G222" t="inlineStr">
        <is>
          <t>VALDEMARSVIK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45009</v>
      </c>
      <c r="E223" s="1" t="n">
        <v>46304</v>
      </c>
      <c r="F223" t="inlineStr">
        <is>
          <t>ÖSTERGÖTLANDS LÄN</t>
        </is>
      </c>
      <c r="G223" t="inlineStr">
        <is>
          <t>VALDEMARSVIK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46304</v>
      </c>
      <c r="F224" t="inlineStr">
        <is>
          <t>ÖSTERGÖTLANDS LÄN</t>
        </is>
      </c>
      <c r="G224" t="inlineStr">
        <is>
          <t>VALDEMARSVIK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46304</v>
      </c>
      <c r="F225" t="inlineStr">
        <is>
          <t>ÖSTERGÖTLANDS LÄN</t>
        </is>
      </c>
      <c r="G225" t="inlineStr">
        <is>
          <t>VALDEMARSVIK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44952</v>
      </c>
      <c r="E226" s="1" t="n">
        <v>46304</v>
      </c>
      <c r="F226" t="inlineStr">
        <is>
          <t>ÖSTERGÖTLANDS LÄN</t>
        </is>
      </c>
      <c r="G226" t="inlineStr">
        <is>
          <t>VALDEMARSVIK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46304</v>
      </c>
      <c r="F227" t="inlineStr">
        <is>
          <t>ÖSTERGÖTLANDS LÄN</t>
        </is>
      </c>
      <c r="G227" t="inlineStr">
        <is>
          <t>VALDEMARSVIK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46304</v>
      </c>
      <c r="F228" t="inlineStr">
        <is>
          <t>ÖSTERGÖTLANDS LÄN</t>
        </is>
      </c>
      <c r="G228" t="inlineStr">
        <is>
          <t>VALDEMARSVIK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46304</v>
      </c>
      <c r="F229" t="inlineStr">
        <is>
          <t>ÖSTERGÖTLANDS LÄN</t>
        </is>
      </c>
      <c r="G229" t="inlineStr">
        <is>
          <t>VALDEMARSVIK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46304</v>
      </c>
      <c r="F230" t="inlineStr">
        <is>
          <t>ÖSTERGÖTLANDS LÄN</t>
        </is>
      </c>
      <c r="G230" t="inlineStr">
        <is>
          <t>VALDEMARSVIK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46304</v>
      </c>
      <c r="F231" t="inlineStr">
        <is>
          <t>ÖSTERGÖTLANDS LÄN</t>
        </is>
      </c>
      <c r="G231" t="inlineStr">
        <is>
          <t>VALDEMARSVIK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54849-2023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45236</v>
      </c>
      <c r="E232" s="1" t="n">
        <v>46304</v>
      </c>
      <c r="F232" t="inlineStr">
        <is>
          <t>ÖSTERGÖTLANDS LÄN</t>
        </is>
      </c>
      <c r="G232" t="inlineStr">
        <is>
          <t>VALDEMARSVIK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45193</v>
      </c>
      <c r="E233" s="1" t="n">
        <v>46304</v>
      </c>
      <c r="F233" t="inlineStr">
        <is>
          <t>ÖSTERGÖTLANDS LÄN</t>
        </is>
      </c>
      <c r="G233" t="inlineStr">
        <is>
          <t>VALDEMARSVIK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47354-2023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45202</v>
      </c>
      <c r="E234" s="1" t="n">
        <v>46304</v>
      </c>
      <c r="F234" t="inlineStr">
        <is>
          <t>ÖSTERGÖTLANDS LÄN</t>
        </is>
      </c>
      <c r="G234" t="inlineStr">
        <is>
          <t>VALDEMARSVIK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45526</v>
      </c>
      <c r="E235" s="1" t="n">
        <v>46304</v>
      </c>
      <c r="F235" t="inlineStr">
        <is>
          <t>ÖSTERGÖTLANDS LÄN</t>
        </is>
      </c>
      <c r="G235" t="inlineStr">
        <is>
          <t>VALDEMARSVIK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45597</v>
      </c>
      <c r="E236" s="1" t="n">
        <v>46304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54785-2022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44883</v>
      </c>
      <c r="E237" s="1" t="n">
        <v>46304</v>
      </c>
      <c r="F237" t="inlineStr">
        <is>
          <t>ÖSTERGÖTLANDS LÄN</t>
        </is>
      </c>
      <c r="G237" t="inlineStr">
        <is>
          <t>VALDEMARSVIK</t>
        </is>
      </c>
      <c r="I237" t="n">
        <v>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45699</v>
      </c>
      <c r="E238" s="1" t="n">
        <v>46304</v>
      </c>
      <c r="F238" t="inlineStr">
        <is>
          <t>ÖSTERGÖTLANDS LÄN</t>
        </is>
      </c>
      <c r="G238" t="inlineStr">
        <is>
          <t>VALDEMARSVIK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45317</v>
      </c>
      <c r="E239" s="1" t="n">
        <v>46304</v>
      </c>
      <c r="F239" t="inlineStr">
        <is>
          <t>ÖSTERGÖTLANDS LÄN</t>
        </is>
      </c>
      <c r="G239" t="inlineStr">
        <is>
          <t>VALDEMARSVIK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30964-2026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46213</v>
      </c>
      <c r="E240" s="1" t="n">
        <v>46304</v>
      </c>
      <c r="F240" t="inlineStr">
        <is>
          <t>ÖSTERGÖTLANDS LÄN</t>
        </is>
      </c>
      <c r="G240" t="inlineStr">
        <is>
          <t>VALDEMARSVIK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46304</v>
      </c>
      <c r="F241" t="inlineStr">
        <is>
          <t>ÖSTERGÖTLANDS LÄN</t>
        </is>
      </c>
      <c r="G241" t="inlineStr">
        <is>
          <t>VALDEMARSVIK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44910</v>
      </c>
      <c r="E242" s="1" t="n">
        <v>46304</v>
      </c>
      <c r="F242" t="inlineStr">
        <is>
          <t>ÖSTERGÖTLANDS LÄN</t>
        </is>
      </c>
      <c r="G242" t="inlineStr">
        <is>
          <t>VALDEMARSVIK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35740-2026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46265</v>
      </c>
      <c r="E243" s="1" t="n">
        <v>46304</v>
      </c>
      <c r="F243" t="inlineStr">
        <is>
          <t>ÖSTERGÖTLANDS LÄN</t>
        </is>
      </c>
      <c r="G243" t="inlineStr">
        <is>
          <t>VALDEMARSVIK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9337-2022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44616</v>
      </c>
      <c r="E244" s="1" t="n">
        <v>46304</v>
      </c>
      <c r="F244" t="inlineStr">
        <is>
          <t>ÖSTERGÖTLANDS LÄN</t>
        </is>
      </c>
      <c r="G244" t="inlineStr">
        <is>
          <t>VALDEMARSVIK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46266</v>
      </c>
      <c r="E245" s="1" t="n">
        <v>46304</v>
      </c>
      <c r="F245" t="inlineStr">
        <is>
          <t>ÖSTERGÖTLANDS LÄN</t>
        </is>
      </c>
      <c r="G245" t="inlineStr">
        <is>
          <t>VALDEMARSVIK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21233-2023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45062</v>
      </c>
      <c r="E246" s="1" t="n">
        <v>46304</v>
      </c>
      <c r="F246" t="inlineStr">
        <is>
          <t>ÖSTERGÖTLANDS LÄN</t>
        </is>
      </c>
      <c r="G246" t="inlineStr">
        <is>
          <t>VALDEMARSVIK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46269</v>
      </c>
      <c r="E247" s="1" t="n">
        <v>46304</v>
      </c>
      <c r="F247" t="inlineStr">
        <is>
          <t>ÖSTERGÖTLANDS LÄN</t>
        </is>
      </c>
      <c r="G247" t="inlineStr">
        <is>
          <t>VALDEMARSVIK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46304</v>
      </c>
      <c r="F248" t="inlineStr">
        <is>
          <t>ÖSTERGÖTLANDS LÄN</t>
        </is>
      </c>
      <c r="G248" t="inlineStr">
        <is>
          <t>VALDEMARSVIK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45588</v>
      </c>
      <c r="E249" s="1" t="n">
        <v>46304</v>
      </c>
      <c r="F249" t="inlineStr">
        <is>
          <t>ÖSTERGÖTLANDS LÄN</t>
        </is>
      </c>
      <c r="G249" t="inlineStr">
        <is>
          <t>VALDEMARSVIK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46304</v>
      </c>
      <c r="F250" t="inlineStr">
        <is>
          <t>ÖSTERGÖTLANDS LÄN</t>
        </is>
      </c>
      <c r="G250" t="inlineStr">
        <is>
          <t>VALDEMARSVIK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66424-2021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44518</v>
      </c>
      <c r="E251" s="1" t="n">
        <v>46304</v>
      </c>
      <c r="F251" t="inlineStr">
        <is>
          <t>ÖSTERGÖTLANDS LÄN</t>
        </is>
      </c>
      <c r="G251" t="inlineStr">
        <is>
          <t>VALDEMARSVIK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39583-2022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44818</v>
      </c>
      <c r="E252" s="1" t="n">
        <v>46304</v>
      </c>
      <c r="F252" t="inlineStr">
        <is>
          <t>ÖSTERGÖTLANDS LÄN</t>
        </is>
      </c>
      <c r="G252" t="inlineStr">
        <is>
          <t>VALDEMARSVIK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45719</v>
      </c>
      <c r="E253" s="1" t="n">
        <v>46304</v>
      </c>
      <c r="F253" t="inlineStr">
        <is>
          <t>ÖSTERGÖTLANDS LÄN</t>
        </is>
      </c>
      <c r="G253" t="inlineStr">
        <is>
          <t>VALDEMARSVIK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45287</v>
      </c>
      <c r="E254" s="1" t="n">
        <v>46304</v>
      </c>
      <c r="F254" t="inlineStr">
        <is>
          <t>ÖSTERGÖTLANDS LÄN</t>
        </is>
      </c>
      <c r="G254" t="inlineStr">
        <is>
          <t>VALDEMARSVIK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45628</v>
      </c>
      <c r="E255" s="1" t="n">
        <v>46304</v>
      </c>
      <c r="F255" t="inlineStr">
        <is>
          <t>ÖSTERGÖTLANDS LÄN</t>
        </is>
      </c>
      <c r="G255" t="inlineStr">
        <is>
          <t>VALDEMARSVIK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46154</v>
      </c>
      <c r="E256" s="1" t="n">
        <v>46304</v>
      </c>
      <c r="F256" t="inlineStr">
        <is>
          <t>ÖSTERGÖTLANDS LÄN</t>
        </is>
      </c>
      <c r="G256" t="inlineStr">
        <is>
          <t>VALDEMARSVIK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45247</v>
      </c>
      <c r="E257" s="1" t="n">
        <v>46304</v>
      </c>
      <c r="F257" t="inlineStr">
        <is>
          <t>ÖSTERGÖTLANDS LÄN</t>
        </is>
      </c>
      <c r="G257" t="inlineStr">
        <is>
          <t>VALDEMARSVIK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45797</v>
      </c>
      <c r="E258" s="1" t="n">
        <v>46304</v>
      </c>
      <c r="F258" t="inlineStr">
        <is>
          <t>ÖSTERGÖTLANDS LÄN</t>
        </is>
      </c>
      <c r="G258" t="inlineStr">
        <is>
          <t>VALDEMARSVIK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46304</v>
      </c>
      <c r="F259" t="inlineStr">
        <is>
          <t>ÖSTERGÖTLANDS LÄN</t>
        </is>
      </c>
      <c r="G259" t="inlineStr">
        <is>
          <t>VALDEMARSVIK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46245</v>
      </c>
      <c r="E260" s="1" t="n">
        <v>46304</v>
      </c>
      <c r="F260" t="inlineStr">
        <is>
          <t>ÖSTERGÖTLANDS LÄN</t>
        </is>
      </c>
      <c r="G260" t="inlineStr">
        <is>
          <t>VALDEMARSVIK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45310</v>
      </c>
      <c r="E261" s="1" t="n">
        <v>46304</v>
      </c>
      <c r="F261" t="inlineStr">
        <is>
          <t>ÖSTERGÖTLANDS LÄN</t>
        </is>
      </c>
      <c r="G261" t="inlineStr">
        <is>
          <t>VALDEMARSVIK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46304</v>
      </c>
      <c r="F262" t="inlineStr">
        <is>
          <t>ÖSTERGÖTLANDS LÄN</t>
        </is>
      </c>
      <c r="G262" t="inlineStr">
        <is>
          <t>VALDEMARSVIK</t>
        </is>
      </c>
      <c r="H262" t="inlineStr">
        <is>
          <t>Kommuner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46304</v>
      </c>
      <c r="F263" t="inlineStr">
        <is>
          <t>ÖSTERGÖTLANDS LÄN</t>
        </is>
      </c>
      <c r="G263" t="inlineStr">
        <is>
          <t>VALDEMARSVIK</t>
        </is>
      </c>
      <c r="H263" t="inlineStr">
        <is>
          <t>Övriga Aktiebolag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46304</v>
      </c>
      <c r="F264" t="inlineStr">
        <is>
          <t>ÖSTERGÖTLANDS LÄN</t>
        </is>
      </c>
      <c r="G264" t="inlineStr">
        <is>
          <t>VALDEMARSVIK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26049-2026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46304</v>
      </c>
      <c r="F265" t="inlineStr">
        <is>
          <t>ÖSTERGÖTLANDS LÄN</t>
        </is>
      </c>
      <c r="G265" t="inlineStr">
        <is>
          <t>VALDEMARSVIK</t>
        </is>
      </c>
      <c r="H265" t="inlineStr">
        <is>
          <t>Övriga Aktiebolag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46304</v>
      </c>
      <c r="F266" t="inlineStr">
        <is>
          <t>ÖSTERGÖTLANDS LÄN</t>
        </is>
      </c>
      <c r="G266" t="inlineStr">
        <is>
          <t>VALDEMARSVIK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34488-2026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46255</v>
      </c>
      <c r="E267" s="1" t="n">
        <v>46304</v>
      </c>
      <c r="F267" t="inlineStr">
        <is>
          <t>ÖSTERGÖTLANDS LÄN</t>
        </is>
      </c>
      <c r="G267" t="inlineStr">
        <is>
          <t>VALDEMARSVIK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46304</v>
      </c>
      <c r="F268" t="inlineStr">
        <is>
          <t>ÖSTERGÖTLANDS LÄN</t>
        </is>
      </c>
      <c r="G268" t="inlineStr">
        <is>
          <t>VALDEMARSVIK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46255</v>
      </c>
      <c r="E269" s="1" t="n">
        <v>46304</v>
      </c>
      <c r="F269" t="inlineStr">
        <is>
          <t>ÖSTERGÖTLANDS LÄN</t>
        </is>
      </c>
      <c r="G269" t="inlineStr">
        <is>
          <t>VALDEMARSVIK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46280</v>
      </c>
      <c r="E270" s="1" t="n">
        <v>46304</v>
      </c>
      <c r="F270" t="inlineStr">
        <is>
          <t>ÖSTERGÖTLANDS LÄN</t>
        </is>
      </c>
      <c r="G270" t="inlineStr">
        <is>
          <t>VALDEMARSVIK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46304</v>
      </c>
      <c r="F271" t="inlineStr">
        <is>
          <t>ÖSTERGÖTLANDS LÄN</t>
        </is>
      </c>
      <c r="G271" t="inlineStr">
        <is>
          <t>VALDEMARSVIK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2472-2020</t>
        </is>
      </c>
      <c r="B272" t="inlineStr">
        <is>
          <t>samrådsanmälan</t>
        </is>
      </c>
      <c r="C272" t="inlineStr">
        <is>
          <t>Åtgärd i nyckelbiotop</t>
        </is>
      </c>
      <c r="D272" s="1" t="n">
        <v>44140</v>
      </c>
      <c r="E272" s="1" t="n">
        <v>46304</v>
      </c>
      <c r="F272" t="inlineStr">
        <is>
          <t>ÖSTERGÖTLANDS LÄN</t>
        </is>
      </c>
      <c r="G272" t="inlineStr">
        <is>
          <t>VALDEMARSVIK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1221-2020</t>
        </is>
      </c>
      <c r="B273" t="inlineStr">
        <is>
          <t>samrådsanmälan</t>
        </is>
      </c>
      <c r="C273" t="inlineStr">
        <is>
          <t>Åtgärd i nyckelbiotop</t>
        </is>
      </c>
      <c r="D273" s="1" t="n">
        <v>43951</v>
      </c>
      <c r="E273" s="1" t="n">
        <v>46304</v>
      </c>
      <c r="F273" t="inlineStr">
        <is>
          <t>ÖSTERGÖTLANDS LÄN</t>
        </is>
      </c>
      <c r="G273" t="inlineStr">
        <is>
          <t>VALDEMARSVIK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3578-2022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44735</v>
      </c>
      <c r="E274" s="1" t="n">
        <v>46304</v>
      </c>
      <c r="F274" t="inlineStr">
        <is>
          <t>ÖSTERGÖTLANDS LÄN</t>
        </is>
      </c>
      <c r="G274" t="inlineStr">
        <is>
          <t>VALDEMARSVIK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45300</v>
      </c>
      <c r="E275" s="1" t="n">
        <v>46304</v>
      </c>
      <c r="F275" t="inlineStr">
        <is>
          <t>ÖSTERGÖTLANDS LÄN</t>
        </is>
      </c>
      <c r="G275" t="inlineStr">
        <is>
          <t>VALDEMARSVIK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536-2025</t>
        </is>
      </c>
      <c r="B276" t="inlineStr">
        <is>
          <t>samrådsanmälan</t>
        </is>
      </c>
      <c r="C276" t="inlineStr">
        <is>
          <t>Åtgärd i nyckelbiotop</t>
        </is>
      </c>
      <c r="D276" s="1" t="n">
        <v>45708</v>
      </c>
      <c r="E276" s="1" t="n">
        <v>46304</v>
      </c>
      <c r="F276" t="inlineStr">
        <is>
          <t>ÖSTERGÖTLANDS LÄN</t>
        </is>
      </c>
      <c r="G276" t="inlineStr">
        <is>
          <t>VALDEMARSVIK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508-2026</t>
        </is>
      </c>
      <c r="B277" t="inlineStr">
        <is>
          <t>samrådsanmälan</t>
        </is>
      </c>
      <c r="C277" t="inlineStr">
        <is>
          <t>Skogsgödsling</t>
        </is>
      </c>
      <c r="D277" s="1" t="n">
        <v>46076</v>
      </c>
      <c r="E277" s="1" t="n">
        <v>46304</v>
      </c>
      <c r="F277" t="inlineStr">
        <is>
          <t>ÖSTERGÖTLANDS LÄN</t>
        </is>
      </c>
      <c r="G277" t="inlineStr">
        <is>
          <t>VALDEMARSVIK</t>
        </is>
      </c>
      <c r="I277" t="n">
        <v>42.4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2026-10-09T02:09:04Z</dcterms:created>
  <dcterms:modified xmlns:dcterms="http://purl.org/dc/terms/" xmlns:xsi="http://www.w3.org/2001/XMLSchema-instance" xsi:type="dcterms:W3CDTF">2026-10-09T02:09:05Z</dcterms:modified>
</cp:coreProperties>
</file>