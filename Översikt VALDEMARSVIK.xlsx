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45785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45785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45785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45785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45785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45785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45785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45785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45785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45785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45785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45785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45785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45785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45785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45785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45785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45785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45785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45785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45785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45785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45785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45785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45785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45785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45785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4051-2023</t>
        </is>
      </c>
      <c r="B29" s="1" t="n">
        <v>44952</v>
      </c>
      <c r="C29" s="1" t="n">
        <v>45785</v>
      </c>
      <c r="D29" t="inlineStr">
        <is>
          <t>ÖSTERGÖTLANDS LÄN</t>
        </is>
      </c>
      <c r="E29" t="inlineStr">
        <is>
          <t>VALDEMARSVIK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HYPERLINK("https://klasma.github.io/Logging_0563/artfynd/A 4051-2023 artfynd.xlsx", "A 4051-2023")</f>
        <v/>
      </c>
      <c r="T29">
        <f>HYPERLINK("https://klasma.github.io/Logging_0563/kartor/A 4051-2023 karta.png", "A 4051-2023")</f>
        <v/>
      </c>
      <c r="V29">
        <f>HYPERLINK("https://klasma.github.io/Logging_0563/klagomål/A 4051-2023 FSC-klagomål.docx", "A 4051-2023")</f>
        <v/>
      </c>
      <c r="W29">
        <f>HYPERLINK("https://klasma.github.io/Logging_0563/klagomålsmail/A 4051-2023 FSC-klagomål mail.docx", "A 4051-2023")</f>
        <v/>
      </c>
      <c r="X29">
        <f>HYPERLINK("https://klasma.github.io/Logging_0563/tillsyn/A 4051-2023 tillsynsbegäran.docx", "A 4051-2023")</f>
        <v/>
      </c>
      <c r="Y29">
        <f>HYPERLINK("https://klasma.github.io/Logging_0563/tillsynsmail/A 4051-2023 tillsynsbegäran mail.docx", "A 4051-2023")</f>
        <v/>
      </c>
    </row>
    <row r="30" ht="15" customHeight="1">
      <c r="A30" t="inlineStr">
        <is>
          <t>A 11012-2023</t>
        </is>
      </c>
      <c r="B30" s="1" t="n">
        <v>44991</v>
      </c>
      <c r="C30" s="1" t="n">
        <v>45785</v>
      </c>
      <c r="D30" t="inlineStr">
        <is>
          <t>ÖSTERGÖTLANDS LÄN</t>
        </is>
      </c>
      <c r="E30" t="inlineStr">
        <is>
          <t>VALDEMARSVIK</t>
        </is>
      </c>
      <c r="G30" t="n">
        <v>8.5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11012-2023 artfynd.xlsx", "A 11012-2023")</f>
        <v/>
      </c>
      <c r="T30">
        <f>HYPERLINK("https://klasma.github.io/Logging_0563/kartor/A 11012-2023 karta.png", "A 11012-2023")</f>
        <v/>
      </c>
      <c r="U30">
        <f>HYPERLINK("https://klasma.github.io/Logging_0563/knärot/A 11012-2023 karta knärot.png", "A 11012-2023")</f>
        <v/>
      </c>
      <c r="V30">
        <f>HYPERLINK("https://klasma.github.io/Logging_0563/klagomål/A 11012-2023 FSC-klagomål.docx", "A 11012-2023")</f>
        <v/>
      </c>
      <c r="W30">
        <f>HYPERLINK("https://klasma.github.io/Logging_0563/klagomålsmail/A 11012-2023 FSC-klagomål mail.docx", "A 11012-2023")</f>
        <v/>
      </c>
      <c r="X30">
        <f>HYPERLINK("https://klasma.github.io/Logging_0563/tillsyn/A 11012-2023 tillsynsbegäran.docx", "A 11012-2023")</f>
        <v/>
      </c>
      <c r="Y30">
        <f>HYPERLINK("https://klasma.github.io/Logging_0563/tillsynsmail/A 11012-2023 tillsynsbegäran mail.docx", "A 11012-2023")</f>
        <v/>
      </c>
    </row>
    <row r="31" ht="15" customHeight="1">
      <c r="A31" t="inlineStr">
        <is>
          <t>A 11749-2023</t>
        </is>
      </c>
      <c r="B31" s="1" t="n">
        <v>44994</v>
      </c>
      <c r="C31" s="1" t="n">
        <v>45785</v>
      </c>
      <c r="D31" t="inlineStr">
        <is>
          <t>ÖSTERGÖTLANDS LÄN</t>
        </is>
      </c>
      <c r="E31" t="inlineStr">
        <is>
          <t>VALDEMARSVIK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Adam och eva</t>
        </is>
      </c>
      <c r="S31">
        <f>HYPERLINK("https://klasma.github.io/Logging_0563/artfynd/A 11749-2023 artfynd.xlsx", "A 11749-2023")</f>
        <v/>
      </c>
      <c r="T31">
        <f>HYPERLINK("https://klasma.github.io/Logging_0563/kartor/A 11749-2023 karta.png", "A 11749-2023")</f>
        <v/>
      </c>
      <c r="V31">
        <f>HYPERLINK("https://klasma.github.io/Logging_0563/klagomål/A 11749-2023 FSC-klagomål.docx", "A 11749-2023")</f>
        <v/>
      </c>
      <c r="W31">
        <f>HYPERLINK("https://klasma.github.io/Logging_0563/klagomålsmail/A 11749-2023 FSC-klagomål mail.docx", "A 11749-2023")</f>
        <v/>
      </c>
      <c r="X31">
        <f>HYPERLINK("https://klasma.github.io/Logging_0563/tillsyn/A 11749-2023 tillsynsbegäran.docx", "A 11749-2023")</f>
        <v/>
      </c>
      <c r="Y31">
        <f>HYPERLINK("https://klasma.github.io/Logging_0563/tillsynsmail/A 11749-2023 tillsynsbegäran mail.docx", "A 11749-2023")</f>
        <v/>
      </c>
    </row>
    <row r="32" ht="15" customHeight="1">
      <c r="A32" t="inlineStr">
        <is>
          <t>A 47200-2023</t>
        </is>
      </c>
      <c r="B32" s="1" t="n">
        <v>45202</v>
      </c>
      <c r="C32" s="1" t="n">
        <v>45785</v>
      </c>
      <c r="D32" t="inlineStr">
        <is>
          <t>ÖSTERGÖTLANDS LÄN</t>
        </is>
      </c>
      <c r="E32" t="inlineStr">
        <is>
          <t>VALDEMARSVIK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HYPERLINK("https://klasma.github.io/Logging_0563/artfynd/A 47200-2023 artfynd.xlsx", "A 47200-2023")</f>
        <v/>
      </c>
      <c r="T32">
        <f>HYPERLINK("https://klasma.github.io/Logging_0563/kartor/A 47200-2023 karta.png", "A 47200-2023")</f>
        <v/>
      </c>
      <c r="V32">
        <f>HYPERLINK("https://klasma.github.io/Logging_0563/klagomål/A 47200-2023 FSC-klagomål.docx", "A 47200-2023")</f>
        <v/>
      </c>
      <c r="W32">
        <f>HYPERLINK("https://klasma.github.io/Logging_0563/klagomålsmail/A 47200-2023 FSC-klagomål mail.docx", "A 47200-2023")</f>
        <v/>
      </c>
      <c r="X32">
        <f>HYPERLINK("https://klasma.github.io/Logging_0563/tillsyn/A 47200-2023 tillsynsbegäran.docx", "A 47200-2023")</f>
        <v/>
      </c>
      <c r="Y32">
        <f>HYPERLINK("https://klasma.github.io/Logging_0563/tillsynsmail/A 47200-2023 tillsynsbegäran mail.docx", "A 47200-2023")</f>
        <v/>
      </c>
      <c r="Z32">
        <f>HYPERLINK("https://klasma.github.io/Logging_0563/fåglar/A 47200-2023 prioriterade fågelarter.docx", "A 47200-2023")</f>
        <v/>
      </c>
    </row>
    <row r="33" ht="15" customHeight="1">
      <c r="A33" t="inlineStr">
        <is>
          <t>A 5410-2024</t>
        </is>
      </c>
      <c r="B33" s="1" t="n">
        <v>45331</v>
      </c>
      <c r="C33" s="1" t="n">
        <v>45785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HYPERLINK("https://klasma.github.io/Logging_0563/artfynd/A 5410-2024 artfynd.xlsx", "A 5410-2024")</f>
        <v/>
      </c>
      <c r="T33">
        <f>HYPERLINK("https://klasma.github.io/Logging_0563/kartor/A 5410-2024 karta.png", "A 5410-2024")</f>
        <v/>
      </c>
      <c r="V33">
        <f>HYPERLINK("https://klasma.github.io/Logging_0563/klagomål/A 5410-2024 FSC-klagomål.docx", "A 5410-2024")</f>
        <v/>
      </c>
      <c r="W33">
        <f>HYPERLINK("https://klasma.github.io/Logging_0563/klagomålsmail/A 5410-2024 FSC-klagomål mail.docx", "A 5410-2024")</f>
        <v/>
      </c>
      <c r="X33">
        <f>HYPERLINK("https://klasma.github.io/Logging_0563/tillsyn/A 5410-2024 tillsynsbegäran.docx", "A 5410-2024")</f>
        <v/>
      </c>
      <c r="Y33">
        <f>HYPERLINK("https://klasma.github.io/Logging_0563/tillsynsmail/A 5410-2024 tillsynsbegäran mail.docx", "A 5410-2024")</f>
        <v/>
      </c>
    </row>
    <row r="34" ht="15" customHeight="1">
      <c r="A34" t="inlineStr">
        <is>
          <t>A 5414-2024</t>
        </is>
      </c>
      <c r="B34" s="1" t="n">
        <v>45331</v>
      </c>
      <c r="C34" s="1" t="n">
        <v>45785</v>
      </c>
      <c r="D34" t="inlineStr">
        <is>
          <t>ÖSTERGÖTLANDS LÄN</t>
        </is>
      </c>
      <c r="E34" t="inlineStr">
        <is>
          <t>VALDEMARSVIK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HYPERLINK("https://klasma.github.io/Logging_0563/artfynd/A 5414-2024 artfynd.xlsx", "A 5414-2024")</f>
        <v/>
      </c>
      <c r="T34">
        <f>HYPERLINK("https://klasma.github.io/Logging_0563/kartor/A 5414-2024 karta.png", "A 5414-2024")</f>
        <v/>
      </c>
      <c r="V34">
        <f>HYPERLINK("https://klasma.github.io/Logging_0563/klagomål/A 5414-2024 FSC-klagomål.docx", "A 5414-2024")</f>
        <v/>
      </c>
      <c r="W34">
        <f>HYPERLINK("https://klasma.github.io/Logging_0563/klagomålsmail/A 5414-2024 FSC-klagomål mail.docx", "A 5414-2024")</f>
        <v/>
      </c>
      <c r="X34">
        <f>HYPERLINK("https://klasma.github.io/Logging_0563/tillsyn/A 5414-2024 tillsynsbegäran.docx", "A 5414-2024")</f>
        <v/>
      </c>
      <c r="Y34">
        <f>HYPERLINK("https://klasma.github.io/Logging_0563/tillsynsmail/A 5414-2024 tillsynsbegäran mail.docx", "A 5414-2024")</f>
        <v/>
      </c>
    </row>
    <row r="35" ht="15" customHeight="1">
      <c r="A35" t="inlineStr">
        <is>
          <t>A 5887-2024</t>
        </is>
      </c>
      <c r="B35" s="1" t="n">
        <v>45335</v>
      </c>
      <c r="C35" s="1" t="n">
        <v>45785</v>
      </c>
      <c r="D35" t="inlineStr">
        <is>
          <t>ÖSTERGÖTLANDS LÄN</t>
        </is>
      </c>
      <c r="E35" t="inlineStr">
        <is>
          <t>VALDEMARSVIK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HYPERLINK("https://klasma.github.io/Logging_0563/artfynd/A 5887-2024 artfynd.xlsx", "A 5887-2024")</f>
        <v/>
      </c>
      <c r="T35">
        <f>HYPERLINK("https://klasma.github.io/Logging_0563/kartor/A 5887-2024 karta.png", "A 5887-2024")</f>
        <v/>
      </c>
      <c r="V35">
        <f>HYPERLINK("https://klasma.github.io/Logging_0563/klagomål/A 5887-2024 FSC-klagomål.docx", "A 5887-2024")</f>
        <v/>
      </c>
      <c r="W35">
        <f>HYPERLINK("https://klasma.github.io/Logging_0563/klagomålsmail/A 5887-2024 FSC-klagomål mail.docx", "A 5887-2024")</f>
        <v/>
      </c>
      <c r="X35">
        <f>HYPERLINK("https://klasma.github.io/Logging_0563/tillsyn/A 5887-2024 tillsynsbegäran.docx", "A 5887-2024")</f>
        <v/>
      </c>
      <c r="Y35">
        <f>HYPERLINK("https://klasma.github.io/Logging_0563/tillsynsmail/A 5887-2024 tillsynsbegäran mail.docx", "A 5887-2024")</f>
        <v/>
      </c>
    </row>
    <row r="36" ht="15" customHeight="1">
      <c r="A36" t="inlineStr">
        <is>
          <t>A 6115-2024</t>
        </is>
      </c>
      <c r="B36" s="1" t="n">
        <v>45337</v>
      </c>
      <c r="C36" s="1" t="n">
        <v>45785</v>
      </c>
      <c r="D36" t="inlineStr">
        <is>
          <t>ÖSTERGÖTLANDS LÄN</t>
        </is>
      </c>
      <c r="E36" t="inlineStr">
        <is>
          <t>VALDEMARSVIK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HYPERLINK("https://klasma.github.io/Logging_0563/artfynd/A 6115-2024 artfynd.xlsx", "A 6115-2024")</f>
        <v/>
      </c>
      <c r="T36">
        <f>HYPERLINK("https://klasma.github.io/Logging_0563/kartor/A 6115-2024 karta.png", "A 6115-2024")</f>
        <v/>
      </c>
      <c r="U36">
        <f>HYPERLINK("https://klasma.github.io/Logging_0563/knärot/A 6115-2024 karta knärot.png", "A 6115-2024")</f>
        <v/>
      </c>
      <c r="V36">
        <f>HYPERLINK("https://klasma.github.io/Logging_0563/klagomål/A 6115-2024 FSC-klagomål.docx", "A 6115-2024")</f>
        <v/>
      </c>
      <c r="W36">
        <f>HYPERLINK("https://klasma.github.io/Logging_0563/klagomålsmail/A 6115-2024 FSC-klagomål mail.docx", "A 6115-2024")</f>
        <v/>
      </c>
      <c r="X36">
        <f>HYPERLINK("https://klasma.github.io/Logging_0563/tillsyn/A 6115-2024 tillsynsbegäran.docx", "A 6115-2024")</f>
        <v/>
      </c>
      <c r="Y36">
        <f>HYPERLINK("https://klasma.github.io/Logging_0563/tillsynsmail/A 6115-2024 tillsynsbegäran mail.docx", "A 6115-2024")</f>
        <v/>
      </c>
    </row>
    <row r="37" ht="15" customHeight="1">
      <c r="A37" t="inlineStr">
        <is>
          <t>A 6127-2024</t>
        </is>
      </c>
      <c r="B37" s="1" t="n">
        <v>45337</v>
      </c>
      <c r="C37" s="1" t="n">
        <v>45785</v>
      </c>
      <c r="D37" t="inlineStr">
        <is>
          <t>ÖSTERGÖTLANDS LÄN</t>
        </is>
      </c>
      <c r="E37" t="inlineStr">
        <is>
          <t>VALDEMARSVIK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HYPERLINK("https://klasma.github.io/Logging_0563/artfynd/A 6127-2024 artfynd.xlsx", "A 6127-2024")</f>
        <v/>
      </c>
      <c r="T37">
        <f>HYPERLINK("https://klasma.github.io/Logging_0563/kartor/A 6127-2024 karta.png", "A 6127-2024")</f>
        <v/>
      </c>
      <c r="V37">
        <f>HYPERLINK("https://klasma.github.io/Logging_0563/klagomål/A 6127-2024 FSC-klagomål.docx", "A 6127-2024")</f>
        <v/>
      </c>
      <c r="W37">
        <f>HYPERLINK("https://klasma.github.io/Logging_0563/klagomålsmail/A 6127-2024 FSC-klagomål mail.docx", "A 6127-2024")</f>
        <v/>
      </c>
      <c r="X37">
        <f>HYPERLINK("https://klasma.github.io/Logging_0563/tillsyn/A 6127-2024 tillsynsbegäran.docx", "A 6127-2024")</f>
        <v/>
      </c>
      <c r="Y37">
        <f>HYPERLINK("https://klasma.github.io/Logging_0563/tillsynsmail/A 6127-2024 tillsynsbegäran mail.docx", "A 6127-2024")</f>
        <v/>
      </c>
      <c r="Z37">
        <f>HYPERLINK("https://klasma.github.io/Logging_0563/fåglar/A 6127-2024 prioriterade fågelarter.docx", "A 6127-2024")</f>
        <v/>
      </c>
    </row>
    <row r="38" ht="15" customHeight="1">
      <c r="A38" t="inlineStr">
        <is>
          <t>A 6133-2024</t>
        </is>
      </c>
      <c r="B38" s="1" t="n">
        <v>45337</v>
      </c>
      <c r="C38" s="1" t="n">
        <v>45785</v>
      </c>
      <c r="D38" t="inlineStr">
        <is>
          <t>ÖSTERGÖTLANDS LÄN</t>
        </is>
      </c>
      <c r="E38" t="inlineStr">
        <is>
          <t>VALDEMARSVIK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Murgröna</t>
        </is>
      </c>
      <c r="S38">
        <f>HYPERLINK("https://klasma.github.io/Logging_0563/artfynd/A 6133-2024 artfynd.xlsx", "A 6133-2024")</f>
        <v/>
      </c>
      <c r="T38">
        <f>HYPERLINK("https://klasma.github.io/Logging_0563/kartor/A 6133-2024 karta.png", "A 6133-2024")</f>
        <v/>
      </c>
      <c r="V38">
        <f>HYPERLINK("https://klasma.github.io/Logging_0563/klagomål/A 6133-2024 FSC-klagomål.docx", "A 6133-2024")</f>
        <v/>
      </c>
      <c r="W38">
        <f>HYPERLINK("https://klasma.github.io/Logging_0563/klagomålsmail/A 6133-2024 FSC-klagomål mail.docx", "A 6133-2024")</f>
        <v/>
      </c>
      <c r="X38">
        <f>HYPERLINK("https://klasma.github.io/Logging_0563/tillsyn/A 6133-2024 tillsynsbegäran.docx", "A 6133-2024")</f>
        <v/>
      </c>
      <c r="Y38">
        <f>HYPERLINK("https://klasma.github.io/Logging_0563/tillsynsmail/A 6133-2024 tillsynsbegäran mail.docx", "A 6133-2024")</f>
        <v/>
      </c>
    </row>
    <row r="39" ht="15" customHeight="1">
      <c r="A39" t="inlineStr">
        <is>
          <t>A 7249-2024</t>
        </is>
      </c>
      <c r="B39" s="1" t="n">
        <v>45344</v>
      </c>
      <c r="C39" s="1" t="n">
        <v>45785</v>
      </c>
      <c r="D39" t="inlineStr">
        <is>
          <t>ÖSTERGÖTLANDS LÄN</t>
        </is>
      </c>
      <c r="E39" t="inlineStr">
        <is>
          <t>VALDEMARSVIK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HYPERLINK("https://klasma.github.io/Logging_0563/artfynd/A 7249-2024 artfynd.xlsx", "A 7249-2024")</f>
        <v/>
      </c>
      <c r="T39">
        <f>HYPERLINK("https://klasma.github.io/Logging_0563/kartor/A 7249-2024 karta.png", "A 7249-2024")</f>
        <v/>
      </c>
      <c r="V39">
        <f>HYPERLINK("https://klasma.github.io/Logging_0563/klagomål/A 7249-2024 FSC-klagomål.docx", "A 7249-2024")</f>
        <v/>
      </c>
      <c r="W39">
        <f>HYPERLINK("https://klasma.github.io/Logging_0563/klagomålsmail/A 7249-2024 FSC-klagomål mail.docx", "A 7249-2024")</f>
        <v/>
      </c>
      <c r="X39">
        <f>HYPERLINK("https://klasma.github.io/Logging_0563/tillsyn/A 7249-2024 tillsynsbegäran.docx", "A 7249-2024")</f>
        <v/>
      </c>
      <c r="Y39">
        <f>HYPERLINK("https://klasma.github.io/Logging_0563/tillsynsmail/A 7249-2024 tillsynsbegäran mail.docx", "A 7249-2024")</f>
        <v/>
      </c>
    </row>
    <row r="40" ht="15" customHeight="1">
      <c r="A40" t="inlineStr">
        <is>
          <t>A 22584-2024</t>
        </is>
      </c>
      <c r="B40" s="1" t="n">
        <v>45447</v>
      </c>
      <c r="C40" s="1" t="n">
        <v>45785</v>
      </c>
      <c r="D40" t="inlineStr">
        <is>
          <t>ÖSTERGÖTLANDS LÄN</t>
        </is>
      </c>
      <c r="E40" t="inlineStr">
        <is>
          <t>VALDEMARSVIK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HYPERLINK("https://klasma.github.io/Logging_0563/artfynd/A 22584-2024 artfynd.xlsx", "A 22584-2024")</f>
        <v/>
      </c>
      <c r="T40">
        <f>HYPERLINK("https://klasma.github.io/Logging_0563/kartor/A 22584-2024 karta.png", "A 22584-2024")</f>
        <v/>
      </c>
      <c r="V40">
        <f>HYPERLINK("https://klasma.github.io/Logging_0563/klagomål/A 22584-2024 FSC-klagomål.docx", "A 22584-2024")</f>
        <v/>
      </c>
      <c r="W40">
        <f>HYPERLINK("https://klasma.github.io/Logging_0563/klagomålsmail/A 22584-2024 FSC-klagomål mail.docx", "A 22584-2024")</f>
        <v/>
      </c>
      <c r="X40">
        <f>HYPERLINK("https://klasma.github.io/Logging_0563/tillsyn/A 22584-2024 tillsynsbegäran.docx", "A 22584-2024")</f>
        <v/>
      </c>
      <c r="Y40">
        <f>HYPERLINK("https://klasma.github.io/Logging_0563/tillsynsmail/A 22584-2024 tillsynsbegäran mail.docx", "A 22584-2024")</f>
        <v/>
      </c>
    </row>
    <row r="41" ht="15" customHeight="1">
      <c r="A41" t="inlineStr">
        <is>
          <t>A 24674-2024</t>
        </is>
      </c>
      <c r="B41" s="1" t="n">
        <v>45460</v>
      </c>
      <c r="C41" s="1" t="n">
        <v>45785</v>
      </c>
      <c r="D41" t="inlineStr">
        <is>
          <t>ÖSTERGÖTLANDS LÄN</t>
        </is>
      </c>
      <c r="E41" t="inlineStr">
        <is>
          <t>VALDEMARSVIK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HYPERLINK("https://klasma.github.io/Logging_0563/artfynd/A 24674-2024 artfynd.xlsx", "A 24674-2024")</f>
        <v/>
      </c>
      <c r="T41">
        <f>HYPERLINK("https://klasma.github.io/Logging_0563/kartor/A 24674-2024 karta.png", "A 24674-2024")</f>
        <v/>
      </c>
      <c r="V41">
        <f>HYPERLINK("https://klasma.github.io/Logging_0563/klagomål/A 24674-2024 FSC-klagomål.docx", "A 24674-2024")</f>
        <v/>
      </c>
      <c r="W41">
        <f>HYPERLINK("https://klasma.github.io/Logging_0563/klagomålsmail/A 24674-2024 FSC-klagomål mail.docx", "A 24674-2024")</f>
        <v/>
      </c>
      <c r="X41">
        <f>HYPERLINK("https://klasma.github.io/Logging_0563/tillsyn/A 24674-2024 tillsynsbegäran.docx", "A 24674-2024")</f>
        <v/>
      </c>
      <c r="Y41">
        <f>HYPERLINK("https://klasma.github.io/Logging_0563/tillsynsmail/A 24674-2024 tillsynsbegäran mail.docx", "A 24674-2024")</f>
        <v/>
      </c>
    </row>
    <row r="42" ht="15" customHeight="1">
      <c r="A42" t="inlineStr">
        <is>
          <t>A 25651-2024</t>
        </is>
      </c>
      <c r="B42" s="1" t="n">
        <v>45463</v>
      </c>
      <c r="C42" s="1" t="n">
        <v>45785</v>
      </c>
      <c r="D42" t="inlineStr">
        <is>
          <t>ÖSTERGÖTLANDS LÄN</t>
        </is>
      </c>
      <c r="E42" t="inlineStr">
        <is>
          <t>VALDEMARSVIK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HYPERLINK("https://klasma.github.io/Logging_0563/artfynd/A 25651-2024 artfynd.xlsx", "A 25651-2024")</f>
        <v/>
      </c>
      <c r="T42">
        <f>HYPERLINK("https://klasma.github.io/Logging_0563/kartor/A 25651-2024 karta.png", "A 25651-2024")</f>
        <v/>
      </c>
      <c r="V42">
        <f>HYPERLINK("https://klasma.github.io/Logging_0563/klagomål/A 25651-2024 FSC-klagomål.docx", "A 25651-2024")</f>
        <v/>
      </c>
      <c r="W42">
        <f>HYPERLINK("https://klasma.github.io/Logging_0563/klagomålsmail/A 25651-2024 FSC-klagomål mail.docx", "A 25651-2024")</f>
        <v/>
      </c>
      <c r="X42">
        <f>HYPERLINK("https://klasma.github.io/Logging_0563/tillsyn/A 25651-2024 tillsynsbegäran.docx", "A 25651-2024")</f>
        <v/>
      </c>
      <c r="Y42">
        <f>HYPERLINK("https://klasma.github.io/Logging_0563/tillsynsmail/A 25651-2024 tillsynsbegäran mail.docx", "A 25651-2024")</f>
        <v/>
      </c>
    </row>
    <row r="43" ht="15" customHeight="1">
      <c r="A43" t="inlineStr">
        <is>
          <t>A 29941-2024</t>
        </is>
      </c>
      <c r="B43" s="1" t="n">
        <v>45488</v>
      </c>
      <c r="C43" s="1" t="n">
        <v>45785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HYPERLINK("https://klasma.github.io/Logging_0563/artfynd/A 29941-2024 artfynd.xlsx", "A 29941-2024")</f>
        <v/>
      </c>
      <c r="T43">
        <f>HYPERLINK("https://klasma.github.io/Logging_0563/kartor/A 29941-2024 karta.png", "A 29941-2024")</f>
        <v/>
      </c>
      <c r="V43">
        <f>HYPERLINK("https://klasma.github.io/Logging_0563/klagomål/A 29941-2024 FSC-klagomål.docx", "A 29941-2024")</f>
        <v/>
      </c>
      <c r="W43">
        <f>HYPERLINK("https://klasma.github.io/Logging_0563/klagomålsmail/A 29941-2024 FSC-klagomål mail.docx", "A 29941-2024")</f>
        <v/>
      </c>
      <c r="X43">
        <f>HYPERLINK("https://klasma.github.io/Logging_0563/tillsyn/A 29941-2024 tillsynsbegäran.docx", "A 29941-2024")</f>
        <v/>
      </c>
      <c r="Y43">
        <f>HYPERLINK("https://klasma.github.io/Logging_0563/tillsynsmail/A 29941-2024 tillsynsbegäran mail.docx", "A 29941-2024")</f>
        <v/>
      </c>
    </row>
    <row r="44" ht="15" customHeight="1">
      <c r="A44" t="inlineStr">
        <is>
          <t>A 49563-2024</t>
        </is>
      </c>
      <c r="B44" s="1" t="n">
        <v>45596</v>
      </c>
      <c r="C44" s="1" t="n">
        <v>45785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Holmen skog AB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HYPERLINK("https://klasma.github.io/Logging_0563/artfynd/A 49563-2024 artfynd.xlsx", "A 49563-2024")</f>
        <v/>
      </c>
      <c r="T44">
        <f>HYPERLINK("https://klasma.github.io/Logging_0563/kartor/A 49563-2024 karta.png", "A 49563-2024")</f>
        <v/>
      </c>
      <c r="V44">
        <f>HYPERLINK("https://klasma.github.io/Logging_0563/klagomål/A 49563-2024 FSC-klagomål.docx", "A 49563-2024")</f>
        <v/>
      </c>
      <c r="W44">
        <f>HYPERLINK("https://klasma.github.io/Logging_0563/klagomålsmail/A 49563-2024 FSC-klagomål mail.docx", "A 49563-2024")</f>
        <v/>
      </c>
      <c r="X44">
        <f>HYPERLINK("https://klasma.github.io/Logging_0563/tillsyn/A 49563-2024 tillsynsbegäran.docx", "A 49563-2024")</f>
        <v/>
      </c>
      <c r="Y44">
        <f>HYPERLINK("https://klasma.github.io/Logging_0563/tillsynsmail/A 49563-2024 tillsynsbegäran mail.docx", "A 49563-2024")</f>
        <v/>
      </c>
    </row>
    <row r="45" ht="15" customHeight="1">
      <c r="A45" t="inlineStr">
        <is>
          <t>A 16392-2025</t>
        </is>
      </c>
      <c r="B45" s="1" t="n">
        <v>45751</v>
      </c>
      <c r="C45" s="1" t="n">
        <v>45785</v>
      </c>
      <c r="D45" t="inlineStr">
        <is>
          <t>ÖSTERGÖTLANDS LÄN</t>
        </is>
      </c>
      <c r="E45" t="inlineStr">
        <is>
          <t>VALDEMARSVIK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HYPERLINK("https://klasma.github.io/Logging_050563/artfynd/A 16392-2025 artfynd.xlsx", "A 16392-2025")</f>
        <v/>
      </c>
      <c r="T45">
        <f>HYPERLINK("https://klasma.github.io/Logging_050563/kartor/A 16392-2025 karta.png", "A 16392-2025")</f>
        <v/>
      </c>
      <c r="V45">
        <f>HYPERLINK("https://klasma.github.io/Logging_050563/klagomål/A 16392-2025 FSC-klagomål.docx", "A 16392-2025")</f>
        <v/>
      </c>
      <c r="W45">
        <f>HYPERLINK("https://klasma.github.io/Logging_050563/klagomålsmail/A 16392-2025 FSC-klagomål mail.docx", "A 16392-2025")</f>
        <v/>
      </c>
      <c r="X45">
        <f>HYPERLINK("https://klasma.github.io/Logging_050563/tillsyn/A 16392-2025 tillsynsbegäran.docx", "A 16392-2025")</f>
        <v/>
      </c>
      <c r="Y45">
        <f>HYPERLINK("https://klasma.github.io/Logging_050563/tillsynsmail/A 16392-2025 tillsynsbegäran mail.docx", "A 16392-2025")</f>
        <v/>
      </c>
    </row>
    <row r="46" ht="15" customHeight="1">
      <c r="A46" t="inlineStr">
        <is>
          <t>A 19040-2019</t>
        </is>
      </c>
      <c r="B46" s="1" t="n">
        <v>43563</v>
      </c>
      <c r="C46" s="1" t="n">
        <v>45785</v>
      </c>
      <c r="D46" t="inlineStr">
        <is>
          <t>ÖSTERGÖTLANDS LÄN</t>
        </is>
      </c>
      <c r="E46" t="inlineStr">
        <is>
          <t>VALDEMARSVIK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20134-2019</t>
        </is>
      </c>
      <c r="B47" s="1" t="n">
        <v>43570</v>
      </c>
      <c r="C47" s="1" t="n">
        <v>45785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20142-2019</t>
        </is>
      </c>
      <c r="B48" s="1" t="n">
        <v>43570</v>
      </c>
      <c r="C48" s="1" t="n">
        <v>45785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23198-2019</t>
        </is>
      </c>
      <c r="B49" s="1" t="n">
        <v>43592</v>
      </c>
      <c r="C49" s="1" t="n">
        <v>45785</v>
      </c>
      <c r="D49" t="inlineStr">
        <is>
          <t>ÖSTERGÖTLANDS LÄN</t>
        </is>
      </c>
      <c r="E49" t="inlineStr">
        <is>
          <t>VALDEMARSVIK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23201-2019</t>
        </is>
      </c>
      <c r="B50" s="1" t="n">
        <v>43592</v>
      </c>
      <c r="C50" s="1" t="n">
        <v>45785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26902-2019</t>
        </is>
      </c>
      <c r="B51" s="1" t="n">
        <v>43609</v>
      </c>
      <c r="C51" s="1" t="n">
        <v>45785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27733-2019</t>
        </is>
      </c>
      <c r="B52" s="1" t="n">
        <v>43619</v>
      </c>
      <c r="C52" s="1" t="n">
        <v>45785</v>
      </c>
      <c r="D52" t="inlineStr">
        <is>
          <t>ÖSTERGÖTLANDS LÄN</t>
        </is>
      </c>
      <c r="E52" t="inlineStr">
        <is>
          <t>VALDEMARSVIK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31053-2019</t>
        </is>
      </c>
      <c r="B53" s="1" t="n">
        <v>43636</v>
      </c>
      <c r="C53" s="1" t="n">
        <v>45785</v>
      </c>
      <c r="D53" t="inlineStr">
        <is>
          <t>ÖSTERGÖTLANDS LÄN</t>
        </is>
      </c>
      <c r="E53" t="inlineStr">
        <is>
          <t>VALDEMARSVIK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36684-2019</t>
        </is>
      </c>
      <c r="B54" s="1" t="n">
        <v>43669</v>
      </c>
      <c r="C54" s="1" t="n">
        <v>45785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36681-2019</t>
        </is>
      </c>
      <c r="B55" s="1" t="n">
        <v>43669</v>
      </c>
      <c r="C55" s="1" t="n">
        <v>45785</v>
      </c>
      <c r="D55" t="inlineStr">
        <is>
          <t>ÖSTERGÖTLANDS LÄN</t>
        </is>
      </c>
      <c r="E55" t="inlineStr">
        <is>
          <t>VALDEMARSVIK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37022-2019</t>
        </is>
      </c>
      <c r="B56" s="1" t="n">
        <v>43676</v>
      </c>
      <c r="C56" s="1" t="n">
        <v>45785</v>
      </c>
      <c r="D56" t="inlineStr">
        <is>
          <t>ÖSTERGÖTLANDS LÄN</t>
        </is>
      </c>
      <c r="E56" t="inlineStr">
        <is>
          <t>VALDEMARSVIK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37483-2019</t>
        </is>
      </c>
      <c r="B57" s="1" t="n">
        <v>43678</v>
      </c>
      <c r="C57" s="1" t="n">
        <v>45785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37458-2019</t>
        </is>
      </c>
      <c r="B58" s="1" t="n">
        <v>43678</v>
      </c>
      <c r="C58" s="1" t="n">
        <v>45785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37460-2019</t>
        </is>
      </c>
      <c r="B59" s="1" t="n">
        <v>43678</v>
      </c>
      <c r="C59" s="1" t="n">
        <v>45785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37616-2019</t>
        </is>
      </c>
      <c r="B60" s="1" t="n">
        <v>43681</v>
      </c>
      <c r="C60" s="1" t="n">
        <v>45785</v>
      </c>
      <c r="D60" t="inlineStr">
        <is>
          <t>ÖSTERGÖTLANDS LÄN</t>
        </is>
      </c>
      <c r="E60" t="inlineStr">
        <is>
          <t>VALDEMARSVIK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38882-2019</t>
        </is>
      </c>
      <c r="B61" s="1" t="n">
        <v>43689</v>
      </c>
      <c r="C61" s="1" t="n">
        <v>45785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40837-2019</t>
        </is>
      </c>
      <c r="B62" s="1" t="n">
        <v>43697</v>
      </c>
      <c r="C62" s="1" t="n">
        <v>45785</v>
      </c>
      <c r="D62" t="inlineStr">
        <is>
          <t>ÖSTERGÖTLANDS LÄN</t>
        </is>
      </c>
      <c r="E62" t="inlineStr">
        <is>
          <t>VALDEMARSVIK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40834-2019</t>
        </is>
      </c>
      <c r="B63" s="1" t="n">
        <v>43697</v>
      </c>
      <c r="C63" s="1" t="n">
        <v>45785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45992-2019</t>
        </is>
      </c>
      <c r="B64" s="1" t="n">
        <v>43718</v>
      </c>
      <c r="C64" s="1" t="n">
        <v>45785</v>
      </c>
      <c r="D64" t="inlineStr">
        <is>
          <t>ÖSTERGÖTLANDS LÄN</t>
        </is>
      </c>
      <c r="E64" t="inlineStr">
        <is>
          <t>VALDEMARSVIK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45994-2019</t>
        </is>
      </c>
      <c r="B65" s="1" t="n">
        <v>43718</v>
      </c>
      <c r="C65" s="1" t="n">
        <v>45785</v>
      </c>
      <c r="D65" t="inlineStr">
        <is>
          <t>ÖSTERGÖTLANDS LÄN</t>
        </is>
      </c>
      <c r="E65" t="inlineStr">
        <is>
          <t>VALDEMARSVIK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49050-2019</t>
        </is>
      </c>
      <c r="B66" s="1" t="n">
        <v>43731</v>
      </c>
      <c r="C66" s="1" t="n">
        <v>45785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56977-2019</t>
        </is>
      </c>
      <c r="B67" s="1" t="n">
        <v>43766</v>
      </c>
      <c r="C67" s="1" t="n">
        <v>45785</v>
      </c>
      <c r="D67" t="inlineStr">
        <is>
          <t>ÖSTERGÖTLANDS LÄN</t>
        </is>
      </c>
      <c r="E67" t="inlineStr">
        <is>
          <t>VALDEMARSVIK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56968-2019</t>
        </is>
      </c>
      <c r="B68" s="1" t="n">
        <v>43766</v>
      </c>
      <c r="C68" s="1" t="n">
        <v>45785</v>
      </c>
      <c r="D68" t="inlineStr">
        <is>
          <t>ÖSTERGÖTLANDS LÄN</t>
        </is>
      </c>
      <c r="E68" t="inlineStr">
        <is>
          <t>VALDEMARSVIK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58961-2019</t>
        </is>
      </c>
      <c r="B69" s="1" t="n">
        <v>43774</v>
      </c>
      <c r="C69" s="1" t="n">
        <v>45785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61654-2019</t>
        </is>
      </c>
      <c r="B70" s="1" t="n">
        <v>43784</v>
      </c>
      <c r="C70" s="1" t="n">
        <v>45785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63167-2019</t>
        </is>
      </c>
      <c r="B71" s="1" t="n">
        <v>43791</v>
      </c>
      <c r="C71" s="1" t="n">
        <v>45785</v>
      </c>
      <c r="D71" t="inlineStr">
        <is>
          <t>ÖSTERGÖTLANDS LÄN</t>
        </is>
      </c>
      <c r="E71" t="inlineStr">
        <is>
          <t>VALDEMARSVIK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66848-2019</t>
        </is>
      </c>
      <c r="B72" s="1" t="n">
        <v>43810</v>
      </c>
      <c r="C72" s="1" t="n">
        <v>45785</v>
      </c>
      <c r="D72" t="inlineStr">
        <is>
          <t>ÖSTERGÖTLANDS LÄN</t>
        </is>
      </c>
      <c r="E72" t="inlineStr">
        <is>
          <t>VALDEMARSVIK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67478-2019</t>
        </is>
      </c>
      <c r="B73" s="1" t="n">
        <v>43814</v>
      </c>
      <c r="C73" s="1" t="n">
        <v>45785</v>
      </c>
      <c r="D73" t="inlineStr">
        <is>
          <t>ÖSTERGÖTLANDS LÄN</t>
        </is>
      </c>
      <c r="E73" t="inlineStr">
        <is>
          <t>VALDEMARSVIK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67778-2019</t>
        </is>
      </c>
      <c r="B74" s="1" t="n">
        <v>43815</v>
      </c>
      <c r="C74" s="1" t="n">
        <v>45785</v>
      </c>
      <c r="D74" t="inlineStr">
        <is>
          <t>ÖSTERGÖTLANDS LÄN</t>
        </is>
      </c>
      <c r="E74" t="inlineStr">
        <is>
          <t>VALDEMARSVIK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741-2020</t>
        </is>
      </c>
      <c r="B75" s="1" t="n">
        <v>43817</v>
      </c>
      <c r="C75" s="1" t="n">
        <v>45785</v>
      </c>
      <c r="D75" t="inlineStr">
        <is>
          <t>ÖSTERGÖTLANDS LÄN</t>
        </is>
      </c>
      <c r="E75" t="inlineStr">
        <is>
          <t>VALDEMARSVIK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731-2020</t>
        </is>
      </c>
      <c r="B76" s="1" t="n">
        <v>43817</v>
      </c>
      <c r="C76" s="1" t="n">
        <v>45785</v>
      </c>
      <c r="D76" t="inlineStr">
        <is>
          <t>ÖSTERGÖTLANDS LÄN</t>
        </is>
      </c>
      <c r="E76" t="inlineStr">
        <is>
          <t>VALDEMARSVIK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68395-2019</t>
        </is>
      </c>
      <c r="B77" s="1" t="n">
        <v>43818</v>
      </c>
      <c r="C77" s="1" t="n">
        <v>45785</v>
      </c>
      <c r="D77" t="inlineStr">
        <is>
          <t>ÖSTERGÖTLANDS LÄN</t>
        </is>
      </c>
      <c r="E77" t="inlineStr">
        <is>
          <t>VALDEMARSVIK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68885-2019</t>
        </is>
      </c>
      <c r="B78" s="1" t="n">
        <v>43821</v>
      </c>
      <c r="C78" s="1" t="n">
        <v>45785</v>
      </c>
      <c r="D78" t="inlineStr">
        <is>
          <t>ÖSTERGÖTLANDS LÄN</t>
        </is>
      </c>
      <c r="E78" t="inlineStr">
        <is>
          <t>VALDEMARSVIK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68886-2019</t>
        </is>
      </c>
      <c r="B79" s="1" t="n">
        <v>43821</v>
      </c>
      <c r="C79" s="1" t="n">
        <v>45785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1925-2020</t>
        </is>
      </c>
      <c r="B80" s="1" t="n">
        <v>43845</v>
      </c>
      <c r="C80" s="1" t="n">
        <v>45785</v>
      </c>
      <c r="D80" t="inlineStr">
        <is>
          <t>ÖSTERGÖTLANDS LÄN</t>
        </is>
      </c>
      <c r="E80" t="inlineStr">
        <is>
          <t>VALDEMARSVIK</t>
        </is>
      </c>
      <c r="G80" t="n">
        <v>22.8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3435-2020</t>
        </is>
      </c>
      <c r="B81" s="1" t="n">
        <v>43852</v>
      </c>
      <c r="C81" s="1" t="n">
        <v>45785</v>
      </c>
      <c r="D81" t="inlineStr">
        <is>
          <t>ÖSTERGÖTLANDS LÄN</t>
        </is>
      </c>
      <c r="E81" t="inlineStr">
        <is>
          <t>VALDEMARSVIK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5217-2020</t>
        </is>
      </c>
      <c r="B82" s="1" t="n">
        <v>43860</v>
      </c>
      <c r="C82" s="1" t="n">
        <v>45785</v>
      </c>
      <c r="D82" t="inlineStr">
        <is>
          <t>ÖSTERGÖTLANDS LÄN</t>
        </is>
      </c>
      <c r="E82" t="inlineStr">
        <is>
          <t>VALDEMARSVIK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6654-2020</t>
        </is>
      </c>
      <c r="B83" s="1" t="n">
        <v>43865</v>
      </c>
      <c r="C83" s="1" t="n">
        <v>45785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6647-2020</t>
        </is>
      </c>
      <c r="B84" s="1" t="n">
        <v>43865</v>
      </c>
      <c r="C84" s="1" t="n">
        <v>45785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6665-2020</t>
        </is>
      </c>
      <c r="B85" s="1" t="n">
        <v>43865</v>
      </c>
      <c r="C85" s="1" t="n">
        <v>45785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6472-2020</t>
        </is>
      </c>
      <c r="B86" s="1" t="n">
        <v>43866</v>
      </c>
      <c r="C86" s="1" t="n">
        <v>45785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7095-2020</t>
        </is>
      </c>
      <c r="B87" s="1" t="n">
        <v>43868</v>
      </c>
      <c r="C87" s="1" t="n">
        <v>45785</v>
      </c>
      <c r="D87" t="inlineStr">
        <is>
          <t>ÖSTERGÖTLANDS LÄN</t>
        </is>
      </c>
      <c r="E87" t="inlineStr">
        <is>
          <t>VALDEMARSVIK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7327-2020</t>
        </is>
      </c>
      <c r="B88" s="1" t="n">
        <v>43868</v>
      </c>
      <c r="C88" s="1" t="n">
        <v>45785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12567-2020</t>
        </is>
      </c>
      <c r="B89" s="1" t="n">
        <v>43896</v>
      </c>
      <c r="C89" s="1" t="n">
        <v>45785</v>
      </c>
      <c r="D89" t="inlineStr">
        <is>
          <t>ÖSTERGÖTLANDS LÄN</t>
        </is>
      </c>
      <c r="E89" t="inlineStr">
        <is>
          <t>VALDEMARSVIK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12919-2020</t>
        </is>
      </c>
      <c r="B90" s="1" t="n">
        <v>43900</v>
      </c>
      <c r="C90" s="1" t="n">
        <v>45785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12928-2020</t>
        </is>
      </c>
      <c r="B91" s="1" t="n">
        <v>43900</v>
      </c>
      <c r="C91" s="1" t="n">
        <v>45785</v>
      </c>
      <c r="D91" t="inlineStr">
        <is>
          <t>ÖSTERGÖTLANDS LÄN</t>
        </is>
      </c>
      <c r="E91" t="inlineStr">
        <is>
          <t>VALDEMARSVIK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12923-2020</t>
        </is>
      </c>
      <c r="B92" s="1" t="n">
        <v>43900</v>
      </c>
      <c r="C92" s="1" t="n">
        <v>45785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12920-2020</t>
        </is>
      </c>
      <c r="B93" s="1" t="n">
        <v>43900</v>
      </c>
      <c r="C93" s="1" t="n">
        <v>45785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14419-2020</t>
        </is>
      </c>
      <c r="B94" s="1" t="n">
        <v>43908</v>
      </c>
      <c r="C94" s="1" t="n">
        <v>45785</v>
      </c>
      <c r="D94" t="inlineStr">
        <is>
          <t>ÖSTERGÖTLANDS LÄN</t>
        </is>
      </c>
      <c r="E94" t="inlineStr">
        <is>
          <t>VALDEMARSVIK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14517-2020</t>
        </is>
      </c>
      <c r="B95" s="1" t="n">
        <v>43908</v>
      </c>
      <c r="C95" s="1" t="n">
        <v>45785</v>
      </c>
      <c r="D95" t="inlineStr">
        <is>
          <t>ÖSTERGÖTLANDS LÄN</t>
        </is>
      </c>
      <c r="E95" t="inlineStr">
        <is>
          <t>VALDEMARSVIK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15177-2020</t>
        </is>
      </c>
      <c r="B96" s="1" t="n">
        <v>43913</v>
      </c>
      <c r="C96" s="1" t="n">
        <v>45785</v>
      </c>
      <c r="D96" t="inlineStr">
        <is>
          <t>ÖSTERGÖTLANDS LÄN</t>
        </is>
      </c>
      <c r="E96" t="inlineStr">
        <is>
          <t>VALDEMARSVIK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16132-2020</t>
        </is>
      </c>
      <c r="B97" s="1" t="n">
        <v>43916</v>
      </c>
      <c r="C97" s="1" t="n">
        <v>45785</v>
      </c>
      <c r="D97" t="inlineStr">
        <is>
          <t>ÖSTERGÖTLANDS LÄN</t>
        </is>
      </c>
      <c r="E97" t="inlineStr">
        <is>
          <t>VALDEMARSVIK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18393-2020</t>
        </is>
      </c>
      <c r="B98" s="1" t="n">
        <v>43928</v>
      </c>
      <c r="C98" s="1" t="n">
        <v>45785</v>
      </c>
      <c r="D98" t="inlineStr">
        <is>
          <t>ÖSTERGÖTLANDS LÄN</t>
        </is>
      </c>
      <c r="E98" t="inlineStr">
        <is>
          <t>VALDEMARSVIK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20068-2020</t>
        </is>
      </c>
      <c r="B99" s="1" t="n">
        <v>43943</v>
      </c>
      <c r="C99" s="1" t="n">
        <v>45785</v>
      </c>
      <c r="D99" t="inlineStr">
        <is>
          <t>ÖSTERGÖTLANDS LÄN</t>
        </is>
      </c>
      <c r="E99" t="inlineStr">
        <is>
          <t>VALDEMARSVIK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20069-2020</t>
        </is>
      </c>
      <c r="B100" s="1" t="n">
        <v>43943</v>
      </c>
      <c r="C100" s="1" t="n">
        <v>45785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20534-2020</t>
        </is>
      </c>
      <c r="B101" s="1" t="n">
        <v>43948</v>
      </c>
      <c r="C101" s="1" t="n">
        <v>45785</v>
      </c>
      <c r="D101" t="inlineStr">
        <is>
          <t>ÖSTERGÖTLANDS LÄN</t>
        </is>
      </c>
      <c r="E101" t="inlineStr">
        <is>
          <t>VALDEMARSVIK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20790-2020</t>
        </is>
      </c>
      <c r="B102" s="1" t="n">
        <v>43949</v>
      </c>
      <c r="C102" s="1" t="n">
        <v>45785</v>
      </c>
      <c r="D102" t="inlineStr">
        <is>
          <t>ÖSTERGÖTLANDS LÄN</t>
        </is>
      </c>
      <c r="E102" t="inlineStr">
        <is>
          <t>VALDEMARSVIK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21164-2020</t>
        </is>
      </c>
      <c r="B103" s="1" t="n">
        <v>43951</v>
      </c>
      <c r="C103" s="1" t="n">
        <v>45785</v>
      </c>
      <c r="D103" t="inlineStr">
        <is>
          <t>ÖSTERGÖTLANDS LÄN</t>
        </is>
      </c>
      <c r="E103" t="inlineStr">
        <is>
          <t>VALDEMARSVIK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24119-2020</t>
        </is>
      </c>
      <c r="B104" s="1" t="n">
        <v>43973</v>
      </c>
      <c r="C104" s="1" t="n">
        <v>45785</v>
      </c>
      <c r="D104" t="inlineStr">
        <is>
          <t>ÖSTERGÖTLANDS LÄN</t>
        </is>
      </c>
      <c r="E104" t="inlineStr">
        <is>
          <t>VALDEMARSVIK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24122-2020</t>
        </is>
      </c>
      <c r="B105" s="1" t="n">
        <v>43973</v>
      </c>
      <c r="C105" s="1" t="n">
        <v>45785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25550-2020</t>
        </is>
      </c>
      <c r="B106" s="1" t="n">
        <v>43983</v>
      </c>
      <c r="C106" s="1" t="n">
        <v>45785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25488-2020</t>
        </is>
      </c>
      <c r="B107" s="1" t="n">
        <v>43983</v>
      </c>
      <c r="C107" s="1" t="n">
        <v>45785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25885-2020</t>
        </is>
      </c>
      <c r="B108" s="1" t="n">
        <v>43984</v>
      </c>
      <c r="C108" s="1" t="n">
        <v>45785</v>
      </c>
      <c r="D108" t="inlineStr">
        <is>
          <t>ÖSTERGÖTLANDS LÄN</t>
        </is>
      </c>
      <c r="E108" t="inlineStr">
        <is>
          <t>VALDEMARSVIK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33148-2020</t>
        </is>
      </c>
      <c r="B109" s="1" t="n">
        <v>44021</v>
      </c>
      <c r="C109" s="1" t="n">
        <v>45785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34239-2020</t>
        </is>
      </c>
      <c r="B110" s="1" t="n">
        <v>44029</v>
      </c>
      <c r="C110" s="1" t="n">
        <v>45785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34234-2020</t>
        </is>
      </c>
      <c r="B111" s="1" t="n">
        <v>44029</v>
      </c>
      <c r="C111" s="1" t="n">
        <v>45785</v>
      </c>
      <c r="D111" t="inlineStr">
        <is>
          <t>ÖSTERGÖTLANDS LÄN</t>
        </is>
      </c>
      <c r="E111" t="inlineStr">
        <is>
          <t>VALDEMARSVIK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36812-2020</t>
        </is>
      </c>
      <c r="B112" s="1" t="n">
        <v>44053</v>
      </c>
      <c r="C112" s="1" t="n">
        <v>45785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39503-2020</t>
        </is>
      </c>
      <c r="B113" s="1" t="n">
        <v>44064</v>
      </c>
      <c r="C113" s="1" t="n">
        <v>45785</v>
      </c>
      <c r="D113" t="inlineStr">
        <is>
          <t>ÖSTERGÖTLANDS LÄN</t>
        </is>
      </c>
      <c r="E113" t="inlineStr">
        <is>
          <t>VALDEMARSVIK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43793-2020</t>
        </is>
      </c>
      <c r="B114" s="1" t="n">
        <v>44082</v>
      </c>
      <c r="C114" s="1" t="n">
        <v>45785</v>
      </c>
      <c r="D114" t="inlineStr">
        <is>
          <t>ÖSTERGÖTLANDS LÄN</t>
        </is>
      </c>
      <c r="E114" t="inlineStr">
        <is>
          <t>VALDEMARSVIK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45457-2020</t>
        </is>
      </c>
      <c r="B115" s="1" t="n">
        <v>44089</v>
      </c>
      <c r="C115" s="1" t="n">
        <v>45785</v>
      </c>
      <c r="D115" t="inlineStr">
        <is>
          <t>ÖSTERGÖTLANDS LÄN</t>
        </is>
      </c>
      <c r="E115" t="inlineStr">
        <is>
          <t>VALDEMARSVIK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45482-2020</t>
        </is>
      </c>
      <c r="B116" s="1" t="n">
        <v>44089</v>
      </c>
      <c r="C116" s="1" t="n">
        <v>45785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46523-2020</t>
        </is>
      </c>
      <c r="B117" s="1" t="n">
        <v>44095</v>
      </c>
      <c r="C117" s="1" t="n">
        <v>45785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47418-2020</t>
        </is>
      </c>
      <c r="B118" s="1" t="n">
        <v>44097</v>
      </c>
      <c r="C118" s="1" t="n">
        <v>45785</v>
      </c>
      <c r="D118" t="inlineStr">
        <is>
          <t>ÖSTERGÖTLANDS LÄN</t>
        </is>
      </c>
      <c r="E118" t="inlineStr">
        <is>
          <t>VALDEMARSVIK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47404-2020</t>
        </is>
      </c>
      <c r="B119" s="1" t="n">
        <v>44097</v>
      </c>
      <c r="C119" s="1" t="n">
        <v>45785</v>
      </c>
      <c r="D119" t="inlineStr">
        <is>
          <t>ÖSTERGÖTLANDS LÄN</t>
        </is>
      </c>
      <c r="E119" t="inlineStr">
        <is>
          <t>VALDEMARSVIK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47421-2020</t>
        </is>
      </c>
      <c r="B120" s="1" t="n">
        <v>44097</v>
      </c>
      <c r="C120" s="1" t="n">
        <v>45785</v>
      </c>
      <c r="D120" t="inlineStr">
        <is>
          <t>ÖSTERGÖTLANDS LÄN</t>
        </is>
      </c>
      <c r="E120" t="inlineStr">
        <is>
          <t>VALDEMARSVIK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49549-2020</t>
        </is>
      </c>
      <c r="B121" s="1" t="n">
        <v>44106</v>
      </c>
      <c r="C121" s="1" t="n">
        <v>45785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50853-2020</t>
        </is>
      </c>
      <c r="B122" s="1" t="n">
        <v>44111</v>
      </c>
      <c r="C122" s="1" t="n">
        <v>45785</v>
      </c>
      <c r="D122" t="inlineStr">
        <is>
          <t>ÖSTERGÖTLANDS LÄN</t>
        </is>
      </c>
      <c r="E122" t="inlineStr">
        <is>
          <t>VALDEMARSVIK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52913-2020</t>
        </is>
      </c>
      <c r="B123" s="1" t="n">
        <v>44120</v>
      </c>
      <c r="C123" s="1" t="n">
        <v>45785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53281-2020</t>
        </is>
      </c>
      <c r="B124" s="1" t="n">
        <v>44123</v>
      </c>
      <c r="C124" s="1" t="n">
        <v>45785</v>
      </c>
      <c r="D124" t="inlineStr">
        <is>
          <t>ÖSTERGÖTLANDS LÄN</t>
        </is>
      </c>
      <c r="E124" t="inlineStr">
        <is>
          <t>VALDEMARSVIK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53455-2020</t>
        </is>
      </c>
      <c r="B125" s="1" t="n">
        <v>44123</v>
      </c>
      <c r="C125" s="1" t="n">
        <v>45785</v>
      </c>
      <c r="D125" t="inlineStr">
        <is>
          <t>ÖSTERGÖTLANDS LÄN</t>
        </is>
      </c>
      <c r="E125" t="inlineStr">
        <is>
          <t>VALDEMARSVIK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54466-2020</t>
        </is>
      </c>
      <c r="B126" s="1" t="n">
        <v>44125</v>
      </c>
      <c r="C126" s="1" t="n">
        <v>45785</v>
      </c>
      <c r="D126" t="inlineStr">
        <is>
          <t>ÖSTERGÖTLANDS LÄN</t>
        </is>
      </c>
      <c r="E126" t="inlineStr">
        <is>
          <t>VALDEMARSVIK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54360-2020</t>
        </is>
      </c>
      <c r="B127" s="1" t="n">
        <v>44126</v>
      </c>
      <c r="C127" s="1" t="n">
        <v>45785</v>
      </c>
      <c r="D127" t="inlineStr">
        <is>
          <t>ÖSTERGÖTLANDS LÄN</t>
        </is>
      </c>
      <c r="E127" t="inlineStr">
        <is>
          <t>VALDEMARSVIK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55621-2020</t>
        </is>
      </c>
      <c r="B128" s="1" t="n">
        <v>44131</v>
      </c>
      <c r="C128" s="1" t="n">
        <v>45785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55623-2020</t>
        </is>
      </c>
      <c r="B129" s="1" t="n">
        <v>44131</v>
      </c>
      <c r="C129" s="1" t="n">
        <v>45785</v>
      </c>
      <c r="D129" t="inlineStr">
        <is>
          <t>ÖSTERGÖTLANDS LÄN</t>
        </is>
      </c>
      <c r="E129" t="inlineStr">
        <is>
          <t>VALDEMARSVIK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55817-2020</t>
        </is>
      </c>
      <c r="B130" s="1" t="n">
        <v>44132</v>
      </c>
      <c r="C130" s="1" t="n">
        <v>45785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56189-2020</t>
        </is>
      </c>
      <c r="B131" s="1" t="n">
        <v>44133</v>
      </c>
      <c r="C131" s="1" t="n">
        <v>45785</v>
      </c>
      <c r="D131" t="inlineStr">
        <is>
          <t>ÖSTERGÖTLANDS LÄN</t>
        </is>
      </c>
      <c r="E131" t="inlineStr">
        <is>
          <t>VALDEMARSVIK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56842-2020</t>
        </is>
      </c>
      <c r="B132" s="1" t="n">
        <v>44138</v>
      </c>
      <c r="C132" s="1" t="n">
        <v>45785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59835-2020</t>
        </is>
      </c>
      <c r="B133" s="1" t="n">
        <v>44151</v>
      </c>
      <c r="C133" s="1" t="n">
        <v>45785</v>
      </c>
      <c r="D133" t="inlineStr">
        <is>
          <t>ÖSTERGÖTLANDS LÄN</t>
        </is>
      </c>
      <c r="E133" t="inlineStr">
        <is>
          <t>VALDEMARSVIK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65726-2020</t>
        </is>
      </c>
      <c r="B134" s="1" t="n">
        <v>44172</v>
      </c>
      <c r="C134" s="1" t="n">
        <v>45785</v>
      </c>
      <c r="D134" t="inlineStr">
        <is>
          <t>ÖSTERGÖTLANDS LÄN</t>
        </is>
      </c>
      <c r="E134" t="inlineStr">
        <is>
          <t>VALDEMARSVIK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65720-2020</t>
        </is>
      </c>
      <c r="B135" s="1" t="n">
        <v>44172</v>
      </c>
      <c r="C135" s="1" t="n">
        <v>45785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65710-2020</t>
        </is>
      </c>
      <c r="B136" s="1" t="n">
        <v>44172</v>
      </c>
      <c r="C136" s="1" t="n">
        <v>45785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65722-2020</t>
        </is>
      </c>
      <c r="B137" s="1" t="n">
        <v>44174</v>
      </c>
      <c r="C137" s="1" t="n">
        <v>45785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65727-2020</t>
        </is>
      </c>
      <c r="B138" s="1" t="n">
        <v>44174</v>
      </c>
      <c r="C138" s="1" t="n">
        <v>45785</v>
      </c>
      <c r="D138" t="inlineStr">
        <is>
          <t>ÖSTERGÖTLANDS LÄN</t>
        </is>
      </c>
      <c r="E138" t="inlineStr">
        <is>
          <t>VALDEMARSVIK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65741-2020</t>
        </is>
      </c>
      <c r="B139" s="1" t="n">
        <v>44174</v>
      </c>
      <c r="C139" s="1" t="n">
        <v>45785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66180-2020</t>
        </is>
      </c>
      <c r="B140" s="1" t="n">
        <v>44174</v>
      </c>
      <c r="C140" s="1" t="n">
        <v>45785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66182-2020</t>
        </is>
      </c>
      <c r="B141" s="1" t="n">
        <v>44174</v>
      </c>
      <c r="C141" s="1" t="n">
        <v>45785</v>
      </c>
      <c r="D141" t="inlineStr">
        <is>
          <t>ÖSTERGÖTLANDS LÄN</t>
        </is>
      </c>
      <c r="E141" t="inlineStr">
        <is>
          <t>VALDEMARSVIK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67502-2020</t>
        </is>
      </c>
      <c r="B142" s="1" t="n">
        <v>44181</v>
      </c>
      <c r="C142" s="1" t="n">
        <v>45785</v>
      </c>
      <c r="D142" t="inlineStr">
        <is>
          <t>ÖSTERGÖTLANDS LÄN</t>
        </is>
      </c>
      <c r="E142" t="inlineStr">
        <is>
          <t>VALDEMARSVIK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67492-2020</t>
        </is>
      </c>
      <c r="B143" s="1" t="n">
        <v>44181</v>
      </c>
      <c r="C143" s="1" t="n">
        <v>45785</v>
      </c>
      <c r="D143" t="inlineStr">
        <is>
          <t>ÖSTERGÖTLANDS LÄN</t>
        </is>
      </c>
      <c r="E143" t="inlineStr">
        <is>
          <t>VALDEMARSVIK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67525-2020</t>
        </is>
      </c>
      <c r="B144" s="1" t="n">
        <v>44181</v>
      </c>
      <c r="C144" s="1" t="n">
        <v>45785</v>
      </c>
      <c r="D144" t="inlineStr">
        <is>
          <t>ÖSTERGÖTLANDS LÄN</t>
        </is>
      </c>
      <c r="E144" t="inlineStr">
        <is>
          <t>VALDEMARSVIK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507-2021</t>
        </is>
      </c>
      <c r="B145" s="1" t="n">
        <v>44203</v>
      </c>
      <c r="C145" s="1" t="n">
        <v>45785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2492-2021</t>
        </is>
      </c>
      <c r="B146" s="1" t="n">
        <v>44214</v>
      </c>
      <c r="C146" s="1" t="n">
        <v>45785</v>
      </c>
      <c r="D146" t="inlineStr">
        <is>
          <t>ÖSTERGÖTLANDS LÄN</t>
        </is>
      </c>
      <c r="E146" t="inlineStr">
        <is>
          <t>VALDEMARSVIK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4020-2021</t>
        </is>
      </c>
      <c r="B147" s="1" t="n">
        <v>44222</v>
      </c>
      <c r="C147" s="1" t="n">
        <v>45785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8238-2021</t>
        </is>
      </c>
      <c r="B148" s="1" t="n">
        <v>44244</v>
      </c>
      <c r="C148" s="1" t="n">
        <v>45785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10050-2021</t>
        </is>
      </c>
      <c r="B149" s="1" t="n">
        <v>44256</v>
      </c>
      <c r="C149" s="1" t="n">
        <v>45785</v>
      </c>
      <c r="D149" t="inlineStr">
        <is>
          <t>ÖSTERGÖTLANDS LÄN</t>
        </is>
      </c>
      <c r="E149" t="inlineStr">
        <is>
          <t>VALDEMARSVIK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12034-2021</t>
        </is>
      </c>
      <c r="B150" s="1" t="n">
        <v>44266</v>
      </c>
      <c r="C150" s="1" t="n">
        <v>45785</v>
      </c>
      <c r="D150" t="inlineStr">
        <is>
          <t>ÖSTERGÖTLANDS LÄN</t>
        </is>
      </c>
      <c r="E150" t="inlineStr">
        <is>
          <t>VALDEMARSVIK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13419-2021</t>
        </is>
      </c>
      <c r="B151" s="1" t="n">
        <v>44273</v>
      </c>
      <c r="C151" s="1" t="n">
        <v>45785</v>
      </c>
      <c r="D151" t="inlineStr">
        <is>
          <t>ÖSTERGÖTLANDS LÄN</t>
        </is>
      </c>
      <c r="E151" t="inlineStr">
        <is>
          <t>VALDEMARSVIK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14312-2021</t>
        </is>
      </c>
      <c r="B152" s="1" t="n">
        <v>44278</v>
      </c>
      <c r="C152" s="1" t="n">
        <v>45785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14561-2021</t>
        </is>
      </c>
      <c r="B153" s="1" t="n">
        <v>44279</v>
      </c>
      <c r="C153" s="1" t="n">
        <v>45785</v>
      </c>
      <c r="D153" t="inlineStr">
        <is>
          <t>ÖSTERGÖTLANDS LÄN</t>
        </is>
      </c>
      <c r="E153" t="inlineStr">
        <is>
          <t>VALDEMARSVIK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14875-2021</t>
        </is>
      </c>
      <c r="B154" s="1" t="n">
        <v>44281</v>
      </c>
      <c r="C154" s="1" t="n">
        <v>45785</v>
      </c>
      <c r="D154" t="inlineStr">
        <is>
          <t>ÖSTERGÖTLANDS LÄN</t>
        </is>
      </c>
      <c r="E154" t="inlineStr">
        <is>
          <t>VALDEMARSVIK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16057-2021</t>
        </is>
      </c>
      <c r="B155" s="1" t="n">
        <v>44287</v>
      </c>
      <c r="C155" s="1" t="n">
        <v>45785</v>
      </c>
      <c r="D155" t="inlineStr">
        <is>
          <t>ÖSTERGÖTLANDS LÄN</t>
        </is>
      </c>
      <c r="E155" t="inlineStr">
        <is>
          <t>VALDEMARSVIK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16396-2021</t>
        </is>
      </c>
      <c r="B156" s="1" t="n">
        <v>44293</v>
      </c>
      <c r="C156" s="1" t="n">
        <v>45785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16402-2021</t>
        </is>
      </c>
      <c r="B157" s="1" t="n">
        <v>44293</v>
      </c>
      <c r="C157" s="1" t="n">
        <v>45785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19050-2021</t>
        </is>
      </c>
      <c r="B158" s="1" t="n">
        <v>44308</v>
      </c>
      <c r="C158" s="1" t="n">
        <v>45785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20171-2021</t>
        </is>
      </c>
      <c r="B159" s="1" t="n">
        <v>44314</v>
      </c>
      <c r="C159" s="1" t="n">
        <v>45785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20534-2021</t>
        </is>
      </c>
      <c r="B160" s="1" t="n">
        <v>44315</v>
      </c>
      <c r="C160" s="1" t="n">
        <v>45785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21371-2021</t>
        </is>
      </c>
      <c r="B161" s="1" t="n">
        <v>44321</v>
      </c>
      <c r="C161" s="1" t="n">
        <v>45785</v>
      </c>
      <c r="D161" t="inlineStr">
        <is>
          <t>ÖSTERGÖTLANDS LÄN</t>
        </is>
      </c>
      <c r="E161" t="inlineStr">
        <is>
          <t>VALDEMARSVIK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21874-2021</t>
        </is>
      </c>
      <c r="B162" s="1" t="n">
        <v>44322</v>
      </c>
      <c r="C162" s="1" t="n">
        <v>45785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22453-2021</t>
        </is>
      </c>
      <c r="B163" s="1" t="n">
        <v>44326</v>
      </c>
      <c r="C163" s="1" t="n">
        <v>45785</v>
      </c>
      <c r="D163" t="inlineStr">
        <is>
          <t>ÖSTERGÖTLANDS LÄN</t>
        </is>
      </c>
      <c r="E163" t="inlineStr">
        <is>
          <t>VALDEMARSVIK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27937-2021</t>
        </is>
      </c>
      <c r="B164" s="1" t="n">
        <v>44354</v>
      </c>
      <c r="C164" s="1" t="n">
        <v>45785</v>
      </c>
      <c r="D164" t="inlineStr">
        <is>
          <t>ÖSTERGÖTLANDS LÄN</t>
        </is>
      </c>
      <c r="E164" t="inlineStr">
        <is>
          <t>VALDEMARSVIK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28059-2021</t>
        </is>
      </c>
      <c r="B165" s="1" t="n">
        <v>44355</v>
      </c>
      <c r="C165" s="1" t="n">
        <v>45785</v>
      </c>
      <c r="D165" t="inlineStr">
        <is>
          <t>ÖSTERGÖTLANDS LÄN</t>
        </is>
      </c>
      <c r="E165" t="inlineStr">
        <is>
          <t>VALDEMARSVIK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28767-2021</t>
        </is>
      </c>
      <c r="B166" s="1" t="n">
        <v>44357</v>
      </c>
      <c r="C166" s="1" t="n">
        <v>45785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28769-2021</t>
        </is>
      </c>
      <c r="B167" s="1" t="n">
        <v>44357</v>
      </c>
      <c r="C167" s="1" t="n">
        <v>45785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29946-2021</t>
        </is>
      </c>
      <c r="B168" s="1" t="n">
        <v>44362</v>
      </c>
      <c r="C168" s="1" t="n">
        <v>45785</v>
      </c>
      <c r="D168" t="inlineStr">
        <is>
          <t>ÖSTERGÖTLANDS LÄN</t>
        </is>
      </c>
      <c r="E168" t="inlineStr">
        <is>
          <t>VALDEMARSVIK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32571-2021</t>
        </is>
      </c>
      <c r="B169" s="1" t="n">
        <v>44371</v>
      </c>
      <c r="C169" s="1" t="n">
        <v>45785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33897-2021</t>
        </is>
      </c>
      <c r="B170" s="1" t="n">
        <v>44378</v>
      </c>
      <c r="C170" s="1" t="n">
        <v>45785</v>
      </c>
      <c r="D170" t="inlineStr">
        <is>
          <t>ÖSTERGÖTLANDS LÄN</t>
        </is>
      </c>
      <c r="E170" t="inlineStr">
        <is>
          <t>VALDEMARSVIK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33868-2021</t>
        </is>
      </c>
      <c r="B171" s="1" t="n">
        <v>44378</v>
      </c>
      <c r="C171" s="1" t="n">
        <v>45785</v>
      </c>
      <c r="D171" t="inlineStr">
        <is>
          <t>ÖSTERGÖTLANDS LÄN</t>
        </is>
      </c>
      <c r="E171" t="inlineStr">
        <is>
          <t>VALDEMARSVIK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33901-2021</t>
        </is>
      </c>
      <c r="B172" s="1" t="n">
        <v>44378</v>
      </c>
      <c r="C172" s="1" t="n">
        <v>45785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38796-2021</t>
        </is>
      </c>
      <c r="B173" s="1" t="n">
        <v>44410</v>
      </c>
      <c r="C173" s="1" t="n">
        <v>45785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39864-2021</t>
        </is>
      </c>
      <c r="B174" s="1" t="n">
        <v>44417</v>
      </c>
      <c r="C174" s="1" t="n">
        <v>45785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39867-2021</t>
        </is>
      </c>
      <c r="B175" s="1" t="n">
        <v>44417</v>
      </c>
      <c r="C175" s="1" t="n">
        <v>45785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39957-2021</t>
        </is>
      </c>
      <c r="B176" s="1" t="n">
        <v>44417</v>
      </c>
      <c r="C176" s="1" t="n">
        <v>45785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39965-2021</t>
        </is>
      </c>
      <c r="B177" s="1" t="n">
        <v>44417</v>
      </c>
      <c r="C177" s="1" t="n">
        <v>45785</v>
      </c>
      <c r="D177" t="inlineStr">
        <is>
          <t>ÖSTERGÖTLANDS LÄN</t>
        </is>
      </c>
      <c r="E177" t="inlineStr">
        <is>
          <t>VALDEMARSVIK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39961-2021</t>
        </is>
      </c>
      <c r="B178" s="1" t="n">
        <v>44417</v>
      </c>
      <c r="C178" s="1" t="n">
        <v>45785</v>
      </c>
      <c r="D178" t="inlineStr">
        <is>
          <t>ÖSTERGÖTLANDS LÄN</t>
        </is>
      </c>
      <c r="E178" t="inlineStr">
        <is>
          <t>VALDEMARSVIK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40434-2021</t>
        </is>
      </c>
      <c r="B179" s="1" t="n">
        <v>44419</v>
      </c>
      <c r="C179" s="1" t="n">
        <v>45785</v>
      </c>
      <c r="D179" t="inlineStr">
        <is>
          <t>ÖSTERGÖTLANDS LÄN</t>
        </is>
      </c>
      <c r="E179" t="inlineStr">
        <is>
          <t>VALDEMARSVIK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44060-2021</t>
        </is>
      </c>
      <c r="B180" s="1" t="n">
        <v>44434</v>
      </c>
      <c r="C180" s="1" t="n">
        <v>45785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48062-2021</t>
        </is>
      </c>
      <c r="B181" s="1" t="n">
        <v>44449</v>
      </c>
      <c r="C181" s="1" t="n">
        <v>45785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49302-2021</t>
        </is>
      </c>
      <c r="B182" s="1" t="n">
        <v>44454</v>
      </c>
      <c r="C182" s="1" t="n">
        <v>45785</v>
      </c>
      <c r="D182" t="inlineStr">
        <is>
          <t>ÖSTERGÖTLANDS LÄN</t>
        </is>
      </c>
      <c r="E182" t="inlineStr">
        <is>
          <t>VALDEMARSVIK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49299-2021</t>
        </is>
      </c>
      <c r="B183" s="1" t="n">
        <v>44454</v>
      </c>
      <c r="C183" s="1" t="n">
        <v>45785</v>
      </c>
      <c r="D183" t="inlineStr">
        <is>
          <t>ÖSTERGÖTLANDS LÄN</t>
        </is>
      </c>
      <c r="E183" t="inlineStr">
        <is>
          <t>VALDEMARSVIK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49303-2021</t>
        </is>
      </c>
      <c r="B184" s="1" t="n">
        <v>44454</v>
      </c>
      <c r="C184" s="1" t="n">
        <v>45785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52223-2021</t>
        </is>
      </c>
      <c r="B185" s="1" t="n">
        <v>44463</v>
      </c>
      <c r="C185" s="1" t="n">
        <v>45785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53786-2021</t>
        </is>
      </c>
      <c r="B186" s="1" t="n">
        <v>44463</v>
      </c>
      <c r="C186" s="1" t="n">
        <v>45785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53785-2021</t>
        </is>
      </c>
      <c r="B187" s="1" t="n">
        <v>44463</v>
      </c>
      <c r="C187" s="1" t="n">
        <v>45785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53782-2021</t>
        </is>
      </c>
      <c r="B188" s="1" t="n">
        <v>44463</v>
      </c>
      <c r="C188" s="1" t="n">
        <v>45785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56581-2021</t>
        </is>
      </c>
      <c r="B189" s="1" t="n">
        <v>44480</v>
      </c>
      <c r="C189" s="1" t="n">
        <v>45785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58100-2021</t>
        </is>
      </c>
      <c r="B190" s="1" t="n">
        <v>44487</v>
      </c>
      <c r="C190" s="1" t="n">
        <v>45785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59399-2021</t>
        </is>
      </c>
      <c r="B191" s="1" t="n">
        <v>44491</v>
      </c>
      <c r="C191" s="1" t="n">
        <v>45785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65890-2021</t>
        </is>
      </c>
      <c r="B192" s="1" t="n">
        <v>44517</v>
      </c>
      <c r="C192" s="1" t="n">
        <v>45785</v>
      </c>
      <c r="D192" t="inlineStr">
        <is>
          <t>ÖSTERGÖTLANDS LÄN</t>
        </is>
      </c>
      <c r="E192" t="inlineStr">
        <is>
          <t>VALDEMARSVIK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66429-2021</t>
        </is>
      </c>
      <c r="B193" s="1" t="n">
        <v>44518</v>
      </c>
      <c r="C193" s="1" t="n">
        <v>45785</v>
      </c>
      <c r="D193" t="inlineStr">
        <is>
          <t>ÖSTERGÖTLANDS LÄN</t>
        </is>
      </c>
      <c r="E193" t="inlineStr">
        <is>
          <t>VALDEMARSVIK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66424-2021</t>
        </is>
      </c>
      <c r="B194" s="1" t="n">
        <v>44518</v>
      </c>
      <c r="C194" s="1" t="n">
        <v>45785</v>
      </c>
      <c r="D194" t="inlineStr">
        <is>
          <t>ÖSTERGÖTLANDS LÄN</t>
        </is>
      </c>
      <c r="E194" t="inlineStr">
        <is>
          <t>VALDEMARSVIK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66669-2021</t>
        </is>
      </c>
      <c r="B195" s="1" t="n">
        <v>44519</v>
      </c>
      <c r="C195" s="1" t="n">
        <v>45785</v>
      </c>
      <c r="D195" t="inlineStr">
        <is>
          <t>ÖSTERGÖTLANDS LÄN</t>
        </is>
      </c>
      <c r="E195" t="inlineStr">
        <is>
          <t>VALDEMARSVIK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69457-2021</t>
        </is>
      </c>
      <c r="B196" s="1" t="n">
        <v>44531</v>
      </c>
      <c r="C196" s="1" t="n">
        <v>45785</v>
      </c>
      <c r="D196" t="inlineStr">
        <is>
          <t>ÖSTERGÖTLANDS LÄN</t>
        </is>
      </c>
      <c r="E196" t="inlineStr">
        <is>
          <t>VALDEMARSVIK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69261-2021</t>
        </is>
      </c>
      <c r="B197" s="1" t="n">
        <v>44531</v>
      </c>
      <c r="C197" s="1" t="n">
        <v>45785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70314-2021</t>
        </is>
      </c>
      <c r="B198" s="1" t="n">
        <v>44536</v>
      </c>
      <c r="C198" s="1" t="n">
        <v>45785</v>
      </c>
      <c r="D198" t="inlineStr">
        <is>
          <t>ÖSTERGÖTLANDS LÄN</t>
        </is>
      </c>
      <c r="E198" t="inlineStr">
        <is>
          <t>VALDEMARSVIK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118-2022</t>
        </is>
      </c>
      <c r="B199" s="1" t="n">
        <v>44564</v>
      </c>
      <c r="C199" s="1" t="n">
        <v>45785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1424-2022</t>
        </is>
      </c>
      <c r="B200" s="1" t="n">
        <v>44573</v>
      </c>
      <c r="C200" s="1" t="n">
        <v>45785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1423-2022</t>
        </is>
      </c>
      <c r="B201" s="1" t="n">
        <v>44573</v>
      </c>
      <c r="C201" s="1" t="n">
        <v>45785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1527-2022</t>
        </is>
      </c>
      <c r="B202" s="1" t="n">
        <v>44573</v>
      </c>
      <c r="C202" s="1" t="n">
        <v>45785</v>
      </c>
      <c r="D202" t="inlineStr">
        <is>
          <t>ÖSTERGÖTLANDS LÄN</t>
        </is>
      </c>
      <c r="E202" t="inlineStr">
        <is>
          <t>VALDEMARSVIK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1543-2022</t>
        </is>
      </c>
      <c r="B203" s="1" t="n">
        <v>44573</v>
      </c>
      <c r="C203" s="1" t="n">
        <v>45785</v>
      </c>
      <c r="D203" t="inlineStr">
        <is>
          <t>ÖSTERGÖTLANDS LÄN</t>
        </is>
      </c>
      <c r="E203" t="inlineStr">
        <is>
          <t>VALDEMARSVIK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1596-2022</t>
        </is>
      </c>
      <c r="B204" s="1" t="n">
        <v>44573</v>
      </c>
      <c r="C204" s="1" t="n">
        <v>45785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1606-2022</t>
        </is>
      </c>
      <c r="B205" s="1" t="n">
        <v>44573</v>
      </c>
      <c r="C205" s="1" t="n">
        <v>45785</v>
      </c>
      <c r="D205" t="inlineStr">
        <is>
          <t>ÖSTERGÖTLANDS LÄN</t>
        </is>
      </c>
      <c r="E205" t="inlineStr">
        <is>
          <t>VALDEMARSVIK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1974-2022</t>
        </is>
      </c>
      <c r="B206" s="1" t="n">
        <v>44575</v>
      </c>
      <c r="C206" s="1" t="n">
        <v>45785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3312-2022</t>
        </is>
      </c>
      <c r="B207" s="1" t="n">
        <v>44585</v>
      </c>
      <c r="C207" s="1" t="n">
        <v>45785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3533-2022</t>
        </is>
      </c>
      <c r="B208" s="1" t="n">
        <v>44585</v>
      </c>
      <c r="C208" s="1" t="n">
        <v>45785</v>
      </c>
      <c r="D208" t="inlineStr">
        <is>
          <t>ÖSTERGÖTLANDS LÄN</t>
        </is>
      </c>
      <c r="E208" t="inlineStr">
        <is>
          <t>VALDEMARSVIK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3894-2022</t>
        </is>
      </c>
      <c r="B209" s="1" t="n">
        <v>44587</v>
      </c>
      <c r="C209" s="1" t="n">
        <v>45785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4027-2022</t>
        </is>
      </c>
      <c r="B210" s="1" t="n">
        <v>44587</v>
      </c>
      <c r="C210" s="1" t="n">
        <v>45785</v>
      </c>
      <c r="D210" t="inlineStr">
        <is>
          <t>ÖSTERGÖTLANDS LÄN</t>
        </is>
      </c>
      <c r="E210" t="inlineStr">
        <is>
          <t>VALDEMARSVIK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4742-2022</t>
        </is>
      </c>
      <c r="B211" s="1" t="n">
        <v>44592</v>
      </c>
      <c r="C211" s="1" t="n">
        <v>45785</v>
      </c>
      <c r="D211" t="inlineStr">
        <is>
          <t>ÖSTERGÖTLANDS LÄN</t>
        </is>
      </c>
      <c r="E211" t="inlineStr">
        <is>
          <t>VALDEMARSVIK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4946-2022</t>
        </is>
      </c>
      <c r="B212" s="1" t="n">
        <v>44593</v>
      </c>
      <c r="C212" s="1" t="n">
        <v>45785</v>
      </c>
      <c r="D212" t="inlineStr">
        <is>
          <t>ÖSTERGÖTLANDS LÄN</t>
        </is>
      </c>
      <c r="E212" t="inlineStr">
        <is>
          <t>VALDEMARSVIK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4927-2022</t>
        </is>
      </c>
      <c r="B213" s="1" t="n">
        <v>44593</v>
      </c>
      <c r="C213" s="1" t="n">
        <v>45785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6548-2022</t>
        </is>
      </c>
      <c r="B214" s="1" t="n">
        <v>44601</v>
      </c>
      <c r="C214" s="1" t="n">
        <v>45785</v>
      </c>
      <c r="D214" t="inlineStr">
        <is>
          <t>ÖSTERGÖTLANDS LÄN</t>
        </is>
      </c>
      <c r="E214" t="inlineStr">
        <is>
          <t>VALDEMARSVIK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6996-2022</t>
        </is>
      </c>
      <c r="B215" s="1" t="n">
        <v>44603</v>
      </c>
      <c r="C215" s="1" t="n">
        <v>45785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7125-2022</t>
        </is>
      </c>
      <c r="B216" s="1" t="n">
        <v>44603</v>
      </c>
      <c r="C216" s="1" t="n">
        <v>45785</v>
      </c>
      <c r="D216" t="inlineStr">
        <is>
          <t>ÖSTERGÖTLANDS LÄN</t>
        </is>
      </c>
      <c r="E216" t="inlineStr">
        <is>
          <t>VALDEMARSVIK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7138-2022</t>
        </is>
      </c>
      <c r="B217" s="1" t="n">
        <v>44603</v>
      </c>
      <c r="C217" s="1" t="n">
        <v>45785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7128-2022</t>
        </is>
      </c>
      <c r="B218" s="1" t="n">
        <v>44603</v>
      </c>
      <c r="C218" s="1" t="n">
        <v>45785</v>
      </c>
      <c r="D218" t="inlineStr">
        <is>
          <t>ÖSTERGÖTLANDS LÄN</t>
        </is>
      </c>
      <c r="E218" t="inlineStr">
        <is>
          <t>VALDEMARSVIK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7634-2022</t>
        </is>
      </c>
      <c r="B219" s="1" t="n">
        <v>44607</v>
      </c>
      <c r="C219" s="1" t="n">
        <v>45785</v>
      </c>
      <c r="D219" t="inlineStr">
        <is>
          <t>ÖSTERGÖTLANDS LÄN</t>
        </is>
      </c>
      <c r="E219" t="inlineStr">
        <is>
          <t>VALDEMARSVIK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8718-2022</t>
        </is>
      </c>
      <c r="B220" s="1" t="n">
        <v>44613</v>
      </c>
      <c r="C220" s="1" t="n">
        <v>45785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8717-2022</t>
        </is>
      </c>
      <c r="B221" s="1" t="n">
        <v>44613</v>
      </c>
      <c r="C221" s="1" t="n">
        <v>45785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8688-2022</t>
        </is>
      </c>
      <c r="B222" s="1" t="n">
        <v>44613</v>
      </c>
      <c r="C222" s="1" t="n">
        <v>45785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8720-2022</t>
        </is>
      </c>
      <c r="B223" s="1" t="n">
        <v>44613</v>
      </c>
      <c r="C223" s="1" t="n">
        <v>45785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8685-2022</t>
        </is>
      </c>
      <c r="B224" s="1" t="n">
        <v>44613</v>
      </c>
      <c r="C224" s="1" t="n">
        <v>45785</v>
      </c>
      <c r="D224" t="inlineStr">
        <is>
          <t>ÖSTERGÖTLANDS LÄN</t>
        </is>
      </c>
      <c r="E224" t="inlineStr">
        <is>
          <t>VALDEMARSVIK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9183-2022</t>
        </is>
      </c>
      <c r="B225" s="1" t="n">
        <v>44615</v>
      </c>
      <c r="C225" s="1" t="n">
        <v>45785</v>
      </c>
      <c r="D225" t="inlineStr">
        <is>
          <t>ÖSTERGÖTLANDS LÄN</t>
        </is>
      </c>
      <c r="E225" t="inlineStr">
        <is>
          <t>VALDEMARSVIK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9337-2022</t>
        </is>
      </c>
      <c r="B226" s="1" t="n">
        <v>44616</v>
      </c>
      <c r="C226" s="1" t="n">
        <v>45785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11252-2022</t>
        </is>
      </c>
      <c r="B227" s="1" t="n">
        <v>44629</v>
      </c>
      <c r="C227" s="1" t="n">
        <v>45785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12094-2022</t>
        </is>
      </c>
      <c r="B228" s="1" t="n">
        <v>44636</v>
      </c>
      <c r="C228" s="1" t="n">
        <v>45785</v>
      </c>
      <c r="D228" t="inlineStr">
        <is>
          <t>ÖSTERGÖTLANDS LÄN</t>
        </is>
      </c>
      <c r="E228" t="inlineStr">
        <is>
          <t>VALDEMARSVIK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14004-2022</t>
        </is>
      </c>
      <c r="B229" s="1" t="n">
        <v>44650</v>
      </c>
      <c r="C229" s="1" t="n">
        <v>45785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14428-2022</t>
        </is>
      </c>
      <c r="B230" s="1" t="n">
        <v>44652</v>
      </c>
      <c r="C230" s="1" t="n">
        <v>45785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14429-2022</t>
        </is>
      </c>
      <c r="B231" s="1" t="n">
        <v>44652</v>
      </c>
      <c r="C231" s="1" t="n">
        <v>45785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14518-2022</t>
        </is>
      </c>
      <c r="B232" s="1" t="n">
        <v>44656</v>
      </c>
      <c r="C232" s="1" t="n">
        <v>45785</v>
      </c>
      <c r="D232" t="inlineStr">
        <is>
          <t>ÖSTERGÖTLANDS LÄN</t>
        </is>
      </c>
      <c r="E232" t="inlineStr">
        <is>
          <t>VALDEMARSVIK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15113-2022</t>
        </is>
      </c>
      <c r="B233" s="1" t="n">
        <v>44658</v>
      </c>
      <c r="C233" s="1" t="n">
        <v>45785</v>
      </c>
      <c r="D233" t="inlineStr">
        <is>
          <t>ÖSTERGÖTLANDS LÄN</t>
        </is>
      </c>
      <c r="E233" t="inlineStr">
        <is>
          <t>VALDEMARSVIK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15115-2022</t>
        </is>
      </c>
      <c r="B234" s="1" t="n">
        <v>44658</v>
      </c>
      <c r="C234" s="1" t="n">
        <v>45785</v>
      </c>
      <c r="D234" t="inlineStr">
        <is>
          <t>ÖSTERGÖTLANDS LÄN</t>
        </is>
      </c>
      <c r="E234" t="inlineStr">
        <is>
          <t>VALDEMARSVIK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18684-2022</t>
        </is>
      </c>
      <c r="B235" s="1" t="n">
        <v>44687</v>
      </c>
      <c r="C235" s="1" t="n">
        <v>45785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18961-2022</t>
        </is>
      </c>
      <c r="B236" s="1" t="n">
        <v>44690</v>
      </c>
      <c r="C236" s="1" t="n">
        <v>45785</v>
      </c>
      <c r="D236" t="inlineStr">
        <is>
          <t>ÖSTERGÖTLANDS LÄN</t>
        </is>
      </c>
      <c r="E236" t="inlineStr">
        <is>
          <t>VALDEMARSVIK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20685-2022</t>
        </is>
      </c>
      <c r="B237" s="1" t="n">
        <v>44700</v>
      </c>
      <c r="C237" s="1" t="n">
        <v>45785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22311-2022</t>
        </is>
      </c>
      <c r="B238" s="1" t="n">
        <v>44712</v>
      </c>
      <c r="C238" s="1" t="n">
        <v>45785</v>
      </c>
      <c r="D238" t="inlineStr">
        <is>
          <t>ÖSTERGÖTLANDS LÄN</t>
        </is>
      </c>
      <c r="E238" t="inlineStr">
        <is>
          <t>VALDEMARSVIK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23827-2022</t>
        </is>
      </c>
      <c r="B239" s="1" t="n">
        <v>44722</v>
      </c>
      <c r="C239" s="1" t="n">
        <v>45785</v>
      </c>
      <c r="D239" t="inlineStr">
        <is>
          <t>ÖSTERGÖTLANDS LÄN</t>
        </is>
      </c>
      <c r="E239" t="inlineStr">
        <is>
          <t>VALDEMARSVIK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24234-2022</t>
        </is>
      </c>
      <c r="B240" s="1" t="n">
        <v>44725</v>
      </c>
      <c r="C240" s="1" t="n">
        <v>45785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24350-2022</t>
        </is>
      </c>
      <c r="B241" s="1" t="n">
        <v>44726</v>
      </c>
      <c r="C241" s="1" t="n">
        <v>45785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24971-2022</t>
        </is>
      </c>
      <c r="B242" s="1" t="n">
        <v>44728</v>
      </c>
      <c r="C242" s="1" t="n">
        <v>45785</v>
      </c>
      <c r="D242" t="inlineStr">
        <is>
          <t>ÖSTERGÖTLANDS LÄN</t>
        </is>
      </c>
      <c r="E242" t="inlineStr">
        <is>
          <t>VALDEMARSVIK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24972-2022</t>
        </is>
      </c>
      <c r="B243" s="1" t="n">
        <v>44728</v>
      </c>
      <c r="C243" s="1" t="n">
        <v>45785</v>
      </c>
      <c r="D243" t="inlineStr">
        <is>
          <t>ÖSTERGÖTLANDS LÄN</t>
        </is>
      </c>
      <c r="E243" t="inlineStr">
        <is>
          <t>VALDEMARSVIK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29011-2022</t>
        </is>
      </c>
      <c r="B244" s="1" t="n">
        <v>44749</v>
      </c>
      <c r="C244" s="1" t="n">
        <v>45785</v>
      </c>
      <c r="D244" t="inlineStr">
        <is>
          <t>ÖSTERGÖTLANDS LÄN</t>
        </is>
      </c>
      <c r="E244" t="inlineStr">
        <is>
          <t>VALDEMARSVIK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28997-2022</t>
        </is>
      </c>
      <c r="B245" s="1" t="n">
        <v>44749</v>
      </c>
      <c r="C245" s="1" t="n">
        <v>45785</v>
      </c>
      <c r="D245" t="inlineStr">
        <is>
          <t>ÖSTERGÖTLANDS LÄN</t>
        </is>
      </c>
      <c r="E245" t="inlineStr">
        <is>
          <t>VALDEMARSVIK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29008-2022</t>
        </is>
      </c>
      <c r="B246" s="1" t="n">
        <v>44749</v>
      </c>
      <c r="C246" s="1" t="n">
        <v>45785</v>
      </c>
      <c r="D246" t="inlineStr">
        <is>
          <t>ÖSTERGÖTLANDS LÄN</t>
        </is>
      </c>
      <c r="E246" t="inlineStr">
        <is>
          <t>VALDEMARSVIK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29424-2022</t>
        </is>
      </c>
      <c r="B247" s="1" t="n">
        <v>44753</v>
      </c>
      <c r="C247" s="1" t="n">
        <v>45785</v>
      </c>
      <c r="D247" t="inlineStr">
        <is>
          <t>ÖSTERGÖTLANDS LÄN</t>
        </is>
      </c>
      <c r="E247" t="inlineStr">
        <is>
          <t>VALDEMARSVIK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33270-2022</t>
        </is>
      </c>
      <c r="B248" s="1" t="n">
        <v>44788</v>
      </c>
      <c r="C248" s="1" t="n">
        <v>45785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33285-2022</t>
        </is>
      </c>
      <c r="B249" s="1" t="n">
        <v>44788</v>
      </c>
      <c r="C249" s="1" t="n">
        <v>45785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35659-2022</t>
        </is>
      </c>
      <c r="B250" s="1" t="n">
        <v>44799</v>
      </c>
      <c r="C250" s="1" t="n">
        <v>45785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35651-2022</t>
        </is>
      </c>
      <c r="B251" s="1" t="n">
        <v>44799</v>
      </c>
      <c r="C251" s="1" t="n">
        <v>45785</v>
      </c>
      <c r="D251" t="inlineStr">
        <is>
          <t>ÖSTERGÖTLANDS LÄN</t>
        </is>
      </c>
      <c r="E251" t="inlineStr">
        <is>
          <t>VALDEMARSVIK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35655-2022</t>
        </is>
      </c>
      <c r="B252" s="1" t="n">
        <v>44799</v>
      </c>
      <c r="C252" s="1" t="n">
        <v>45785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36790-2022</t>
        </is>
      </c>
      <c r="B253" s="1" t="n">
        <v>44805</v>
      </c>
      <c r="C253" s="1" t="n">
        <v>45785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36785-2022</t>
        </is>
      </c>
      <c r="B254" s="1" t="n">
        <v>44805</v>
      </c>
      <c r="C254" s="1" t="n">
        <v>45785</v>
      </c>
      <c r="D254" t="inlineStr">
        <is>
          <t>ÖSTERGÖTLANDS LÄN</t>
        </is>
      </c>
      <c r="E254" t="inlineStr">
        <is>
          <t>VALDEMARSVIK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39583-2022</t>
        </is>
      </c>
      <c r="B255" s="1" t="n">
        <v>44818</v>
      </c>
      <c r="C255" s="1" t="n">
        <v>45785</v>
      </c>
      <c r="D255" t="inlineStr">
        <is>
          <t>ÖSTERGÖTLANDS LÄN</t>
        </is>
      </c>
      <c r="E255" t="inlineStr">
        <is>
          <t>VALDEMARSVIK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42401-2022</t>
        </is>
      </c>
      <c r="B256" s="1" t="n">
        <v>44830</v>
      </c>
      <c r="C256" s="1" t="n">
        <v>45785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43225-2022</t>
        </is>
      </c>
      <c r="B257" s="1" t="n">
        <v>44833</v>
      </c>
      <c r="C257" s="1" t="n">
        <v>45785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47219-2022</t>
        </is>
      </c>
      <c r="B258" s="1" t="n">
        <v>44852</v>
      </c>
      <c r="C258" s="1" t="n">
        <v>45785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47632-2022</t>
        </is>
      </c>
      <c r="B259" s="1" t="n">
        <v>44852</v>
      </c>
      <c r="C259" s="1" t="n">
        <v>45785</v>
      </c>
      <c r="D259" t="inlineStr">
        <is>
          <t>ÖSTERGÖTLANDS LÄN</t>
        </is>
      </c>
      <c r="E259" t="inlineStr">
        <is>
          <t>VALDEMARSVIK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48409-2022</t>
        </is>
      </c>
      <c r="B260" s="1" t="n">
        <v>44854</v>
      </c>
      <c r="C260" s="1" t="n">
        <v>45785</v>
      </c>
      <c r="D260" t="inlineStr">
        <is>
          <t>ÖSTERGÖTLANDS LÄN</t>
        </is>
      </c>
      <c r="E260" t="inlineStr">
        <is>
          <t>VALDEMARSVIK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48421-2022</t>
        </is>
      </c>
      <c r="B261" s="1" t="n">
        <v>44854</v>
      </c>
      <c r="C261" s="1" t="n">
        <v>45785</v>
      </c>
      <c r="D261" t="inlineStr">
        <is>
          <t>ÖSTERGÖTLANDS LÄN</t>
        </is>
      </c>
      <c r="E261" t="inlineStr">
        <is>
          <t>VALDEMARSVIK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48428-2022</t>
        </is>
      </c>
      <c r="B262" s="1" t="n">
        <v>44854</v>
      </c>
      <c r="C262" s="1" t="n">
        <v>45785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48850-2022</t>
        </is>
      </c>
      <c r="B263" s="1" t="n">
        <v>44859</v>
      </c>
      <c r="C263" s="1" t="n">
        <v>45785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51436-2022</t>
        </is>
      </c>
      <c r="B264" s="1" t="n">
        <v>44869</v>
      </c>
      <c r="C264" s="1" t="n">
        <v>45785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54231-2022</t>
        </is>
      </c>
      <c r="B265" s="1" t="n">
        <v>44881</v>
      </c>
      <c r="C265" s="1" t="n">
        <v>45785</v>
      </c>
      <c r="D265" t="inlineStr">
        <is>
          <t>ÖSTERGÖTLANDS LÄN</t>
        </is>
      </c>
      <c r="E265" t="inlineStr">
        <is>
          <t>VALDEMARSVIK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54230-2022</t>
        </is>
      </c>
      <c r="B266" s="1" t="n">
        <v>44881</v>
      </c>
      <c r="C266" s="1" t="n">
        <v>45785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55304-2022</t>
        </is>
      </c>
      <c r="B267" s="1" t="n">
        <v>44882</v>
      </c>
      <c r="C267" s="1" t="n">
        <v>45785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54765-2022</t>
        </is>
      </c>
      <c r="B268" s="1" t="n">
        <v>44883</v>
      </c>
      <c r="C268" s="1" t="n">
        <v>45785</v>
      </c>
      <c r="D268" t="inlineStr">
        <is>
          <t>ÖSTERGÖTLANDS LÄN</t>
        </is>
      </c>
      <c r="E268" t="inlineStr">
        <is>
          <t>VALDEMARSVIK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54812-2022</t>
        </is>
      </c>
      <c r="B269" s="1" t="n">
        <v>44883</v>
      </c>
      <c r="C269" s="1" t="n">
        <v>45785</v>
      </c>
      <c r="D269" t="inlineStr">
        <is>
          <t>ÖSTERGÖTLANDS LÄN</t>
        </is>
      </c>
      <c r="E269" t="inlineStr">
        <is>
          <t>VALDEMARSVIK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54794-2022</t>
        </is>
      </c>
      <c r="B270" s="1" t="n">
        <v>44883</v>
      </c>
      <c r="C270" s="1" t="n">
        <v>45785</v>
      </c>
      <c r="D270" t="inlineStr">
        <is>
          <t>ÖSTERGÖTLANDS LÄN</t>
        </is>
      </c>
      <c r="E270" t="inlineStr">
        <is>
          <t>VALDEMARSVIK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55964-2022</t>
        </is>
      </c>
      <c r="B271" s="1" t="n">
        <v>44889</v>
      </c>
      <c r="C271" s="1" t="n">
        <v>45785</v>
      </c>
      <c r="D271" t="inlineStr">
        <is>
          <t>ÖSTERGÖTLANDS LÄN</t>
        </is>
      </c>
      <c r="E271" t="inlineStr">
        <is>
          <t>VALDEMARSVIK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58262-2022</t>
        </is>
      </c>
      <c r="B272" s="1" t="n">
        <v>44894</v>
      </c>
      <c r="C272" s="1" t="n">
        <v>45785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57513-2022</t>
        </is>
      </c>
      <c r="B273" s="1" t="n">
        <v>44896</v>
      </c>
      <c r="C273" s="1" t="n">
        <v>45785</v>
      </c>
      <c r="D273" t="inlineStr">
        <is>
          <t>ÖSTERGÖTLANDS LÄN</t>
        </is>
      </c>
      <c r="E273" t="inlineStr">
        <is>
          <t>VALDEMARSVIK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57680-2022</t>
        </is>
      </c>
      <c r="B274" s="1" t="n">
        <v>44897</v>
      </c>
      <c r="C274" s="1" t="n">
        <v>45785</v>
      </c>
      <c r="D274" t="inlineStr">
        <is>
          <t>ÖSTERGÖTLANDS LÄN</t>
        </is>
      </c>
      <c r="E274" t="inlineStr">
        <is>
          <t>VALDEMARSVIK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57864-2022</t>
        </is>
      </c>
      <c r="B275" s="1" t="n">
        <v>44899</v>
      </c>
      <c r="C275" s="1" t="n">
        <v>45785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58979-2022</t>
        </is>
      </c>
      <c r="B276" s="1" t="n">
        <v>44903</v>
      </c>
      <c r="C276" s="1" t="n">
        <v>45785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60242-2022</t>
        </is>
      </c>
      <c r="B277" s="1" t="n">
        <v>44910</v>
      </c>
      <c r="C277" s="1" t="n">
        <v>45785</v>
      </c>
      <c r="D277" t="inlineStr">
        <is>
          <t>ÖSTERGÖTLANDS LÄN</t>
        </is>
      </c>
      <c r="E277" t="inlineStr">
        <is>
          <t>VALDEMARSVIK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61426-2022</t>
        </is>
      </c>
      <c r="B278" s="1" t="n">
        <v>44916</v>
      </c>
      <c r="C278" s="1" t="n">
        <v>45785</v>
      </c>
      <c r="D278" t="inlineStr">
        <is>
          <t>ÖSTERGÖTLANDS LÄN</t>
        </is>
      </c>
      <c r="E278" t="inlineStr">
        <is>
          <t>VALDEMARSVIK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45785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45785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45785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45785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45785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45785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45785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45785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45785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45785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45785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45785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45785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45785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45785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45785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45785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45785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45785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45785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45785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45785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45785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45785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45785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45785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45785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45785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45785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45785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45785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45785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45785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45785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45785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45785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45785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45785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45785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45785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45785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45785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45785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45785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45785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45785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45785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45785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45785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45785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45785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45785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45785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45785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45785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45785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45785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45785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45785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45785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45785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45785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45785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45785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45785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45785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45785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45785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45785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45785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45785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45785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45785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45785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45785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45785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45785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45785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45785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45785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45785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45785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45785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45785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45785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45785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45785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45785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45785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45785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45785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45785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45785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45785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45785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45785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45785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45785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45785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45785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45785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45785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45785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45785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45785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45785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45785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45785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45785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45785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45785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45785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45785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45785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45785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45785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45785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45785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45785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45785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45785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45785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45785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45785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45785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45785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45785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45785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45785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45785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45785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45785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45785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45785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45785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45785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45785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45785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45785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45785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45785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45785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45785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45785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45785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45785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45785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45785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45785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45785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45785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45785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45785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45785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45785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45785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45785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45785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45785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45785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45785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45785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45785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45785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45785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45785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45785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45785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45785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45785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45785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45785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45785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45785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45785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45785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45785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45785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45785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45785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45785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45785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45785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45785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45785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45785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45785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45785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45785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45785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45785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45785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45785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45785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45785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45785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45785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45785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45785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45785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45785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45785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45785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45785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45785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45785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45785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45785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45785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45785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45785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45785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45785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45785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45785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45785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45785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45785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45785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45785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45785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45785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45785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45785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45785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45785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45785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45785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45785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45785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45785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45785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45785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45785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45785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45785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45785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45785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45785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45785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45785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45785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45785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45785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45785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45785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45785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45785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45785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45785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45785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45785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45785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45785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45785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45785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45785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45785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45785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45785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45785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45785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45785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45785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45785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45785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45785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45785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45785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45785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45785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45785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45785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45785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45785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45785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45785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45785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45785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45785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45785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45785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45785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45785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45785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45785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45785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45785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45785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45785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45785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45785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45785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45785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45785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45785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45785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45785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45785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45785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45785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45785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45785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45785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45785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45785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45785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45785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45785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45785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45785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45785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45785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45785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45785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45785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45785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45785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45785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45785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45785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45785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45785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45785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45785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45785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45785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45785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45785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45785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45785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45785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45785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45785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45785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45785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45785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45785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45785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45785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45785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45785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45785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45785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45785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45785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45785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45785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45785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45785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45785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45785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45785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45785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45785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45785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45785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45785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45785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45785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45785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45785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45785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45785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45785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45785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45785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45785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45785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45785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45785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45785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45785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45785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45785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45785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45785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45785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45785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45785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45785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45785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45785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45785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45785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45785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45785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45785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45785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45785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45785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45785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45785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45785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45785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45785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45785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45785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45785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45785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45785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45785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45785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45785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45785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21537-2025</t>
        </is>
      </c>
      <c r="B684" s="1" t="n">
        <v>45782</v>
      </c>
      <c r="C684" s="1" t="n">
        <v>45785</v>
      </c>
      <c r="D684" t="inlineStr">
        <is>
          <t>ÖSTERGÖTLANDS LÄN</t>
        </is>
      </c>
      <c r="E684" t="inlineStr">
        <is>
          <t>VALDEMARSVIK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21517-2025</t>
        </is>
      </c>
      <c r="B685" s="1" t="n">
        <v>45782</v>
      </c>
      <c r="C685" s="1" t="n">
        <v>45785</v>
      </c>
      <c r="D685" t="inlineStr">
        <is>
          <t>ÖSTERGÖTLANDS LÄN</t>
        </is>
      </c>
      <c r="E685" t="inlineStr">
        <is>
          <t>VALDEMARSVIK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21523-2025</t>
        </is>
      </c>
      <c r="B686" s="1" t="n">
        <v>45782</v>
      </c>
      <c r="C686" s="1" t="n">
        <v>45785</v>
      </c>
      <c r="D686" t="inlineStr">
        <is>
          <t>ÖSTERGÖTLANDS LÄN</t>
        </is>
      </c>
      <c r="E686" t="inlineStr">
        <is>
          <t>VALDEMARSVIK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21396-2025</t>
        </is>
      </c>
      <c r="B687" s="1" t="n">
        <v>45782</v>
      </c>
      <c r="C687" s="1" t="n">
        <v>45785</v>
      </c>
      <c r="D687" t="inlineStr">
        <is>
          <t>ÖSTERGÖTLANDS LÄN</t>
        </is>
      </c>
      <c r="E687" t="inlineStr">
        <is>
          <t>VALDEMARSVIK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21525-2025</t>
        </is>
      </c>
      <c r="B688" s="1" t="n">
        <v>45782</v>
      </c>
      <c r="C688" s="1" t="n">
        <v>45785</v>
      </c>
      <c r="D688" t="inlineStr">
        <is>
          <t>ÖSTERGÖTLANDS LÄN</t>
        </is>
      </c>
      <c r="E688" t="inlineStr">
        <is>
          <t>VALDEMARSVIK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21499-2025</t>
        </is>
      </c>
      <c r="B689" s="1" t="n">
        <v>45782</v>
      </c>
      <c r="C689" s="1" t="n">
        <v>45785</v>
      </c>
      <c r="D689" t="inlineStr">
        <is>
          <t>ÖSTERGÖTLANDS LÄN</t>
        </is>
      </c>
      <c r="E689" t="inlineStr">
        <is>
          <t>VALDEMARSVIK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21390-2025</t>
        </is>
      </c>
      <c r="B690" s="1" t="n">
        <v>45782</v>
      </c>
      <c r="C690" s="1" t="n">
        <v>45785</v>
      </c>
      <c r="D690" t="inlineStr">
        <is>
          <t>ÖSTERGÖTLANDS LÄN</t>
        </is>
      </c>
      <c r="E690" t="inlineStr">
        <is>
          <t>VALDEMARSVIK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21417-2025</t>
        </is>
      </c>
      <c r="B691" s="1" t="n">
        <v>45782</v>
      </c>
      <c r="C691" s="1" t="n">
        <v>45785</v>
      </c>
      <c r="D691" t="inlineStr">
        <is>
          <t>ÖSTERGÖTLANDS LÄN</t>
        </is>
      </c>
      <c r="E691" t="inlineStr">
        <is>
          <t>VALDEMARSVIK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21511-2025</t>
        </is>
      </c>
      <c r="B692" s="1" t="n">
        <v>45782</v>
      </c>
      <c r="C692" s="1" t="n">
        <v>45785</v>
      </c>
      <c r="D692" t="inlineStr">
        <is>
          <t>ÖSTERGÖTLANDS LÄN</t>
        </is>
      </c>
      <c r="E692" t="inlineStr">
        <is>
          <t>VALDEMARSVIK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2025-05-08T17:51:33Z</dcterms:created>
  <dcterms:modified xmlns:dcterms="http://purl.org/dc/terms/" xmlns:xsi="http://www.w3.org/2001/XMLSchema-instance" xsi:type="dcterms:W3CDTF">2025-05-08T17:51:33Z</dcterms:modified>
</cp:coreProperties>
</file>